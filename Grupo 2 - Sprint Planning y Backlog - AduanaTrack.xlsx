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 &amp; Sprint Goal" sheetId="1" state="visible" r:id="rId1"/>
    <sheet xmlns:r="http://schemas.openxmlformats.org/officeDocument/2006/relationships" name="Metodologia y Tecnicas" sheetId="2" state="visible" r:id="rId2"/>
    <sheet xmlns:r="http://schemas.openxmlformats.org/officeDocument/2006/relationships" name="Product Backlog (Priorizado)" sheetId="3" state="visible" r:id="rId3"/>
    <sheet xmlns:r="http://schemas.openxmlformats.org/officeDocument/2006/relationships" name="Capacidad del Equipo" sheetId="4" state="visible" r:id="rId4"/>
    <sheet xmlns:r="http://schemas.openxmlformats.org/officeDocument/2006/relationships" name="Sprint Backlog" sheetId="5" state="visible" r:id="rId5"/>
    <sheet xmlns:r="http://schemas.openxmlformats.org/officeDocument/2006/relationships" name="Seguimiento &amp; Burndown"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0">
    <font>
      <name val="Calibri"/>
      <family val="2"/>
      <color theme="1"/>
      <sz val="11"/>
      <scheme val="minor"/>
    </font>
    <font>
      <name val="Segoe UI"/>
      <b val="1"/>
      <color rgb="001E3A8A"/>
      <sz val="11"/>
    </font>
    <font>
      <name val="Segoe UI"/>
      <b val="1"/>
      <color rgb="00475569"/>
      <sz val="10"/>
    </font>
    <font>
      <name val="Segoe UI"/>
      <b val="1"/>
      <color rgb="000F172A"/>
      <sz val="15"/>
    </font>
    <font>
      <name val="Segoe UI"/>
      <b val="1"/>
      <color rgb="001E3A8A"/>
      <sz val="10"/>
    </font>
    <font>
      <name val="Segoe UI"/>
      <color rgb="001E293B"/>
      <sz val="9.5"/>
    </font>
    <font>
      <name val="Segoe UI"/>
      <b val="1"/>
      <color rgb="00FFFFFF"/>
      <sz val="11"/>
    </font>
    <font>
      <name val="Segoe UI"/>
      <b val="1"/>
      <i val="1"/>
      <color rgb="000F172A"/>
      <sz val="10.5"/>
    </font>
    <font>
      <name val="Segoe UI"/>
      <b val="1"/>
      <color rgb="001E3A8A"/>
      <sz val="18"/>
    </font>
    <font>
      <name val="Segoe UI"/>
      <b val="1"/>
      <color rgb="0064748B"/>
      <sz val="8.5"/>
    </font>
    <font>
      <name val="Segoe UI"/>
      <i val="1"/>
      <color rgb="0064748B"/>
      <sz val="8"/>
    </font>
    <font>
      <name val="Segoe UI"/>
      <b val="1"/>
      <color rgb="00FFFFFF"/>
      <sz val="10"/>
    </font>
    <font>
      <name val="Segoe UI"/>
      <b val="1"/>
      <color rgb="000369A1"/>
      <sz val="9"/>
    </font>
    <font>
      <name val="Segoe UI"/>
      <b val="1"/>
      <color rgb="000F172A"/>
      <sz val="9.5"/>
    </font>
    <font>
      <name val="Segoe UI"/>
      <b val="1"/>
      <color rgb="001E3A8A"/>
      <sz val="9.5"/>
    </font>
    <font>
      <name val="Segoe UI"/>
      <b val="1"/>
      <color rgb="006B21A8"/>
      <sz val="9"/>
    </font>
    <font>
      <name val="Segoe UI"/>
      <b val="1"/>
      <color rgb="00475569"/>
      <sz val="9"/>
    </font>
    <font>
      <name val="Segoe UI"/>
      <b val="1"/>
      <color rgb="00FFFFFF"/>
      <sz val="10.5"/>
    </font>
    <font>
      <name val="Segoe UI"/>
      <i val="1"/>
      <color rgb="0064748B"/>
      <sz val="8.5"/>
    </font>
    <font>
      <name val="Segoe UI"/>
      <b val="1"/>
      <color rgb="0092400E"/>
      <sz val="9"/>
    </font>
  </fonts>
  <fills count="13">
    <fill>
      <patternFill/>
    </fill>
    <fill>
      <patternFill patternType="gray125"/>
    </fill>
    <fill>
      <patternFill patternType="solid">
        <fgColor rgb="00EEF2F6"/>
        <bgColor rgb="00EEF2F6"/>
      </patternFill>
    </fill>
    <fill>
      <patternFill patternType="solid">
        <fgColor rgb="001E3A8A"/>
        <bgColor rgb="001E3A8A"/>
      </patternFill>
    </fill>
    <fill>
      <patternFill patternType="solid">
        <fgColor rgb="00F8FAFC"/>
        <bgColor rgb="00F8FAFC"/>
      </patternFill>
    </fill>
    <fill>
      <patternFill patternType="solid">
        <fgColor rgb="000F172A"/>
        <bgColor rgb="000F172A"/>
      </patternFill>
    </fill>
    <fill>
      <patternFill patternType="solid">
        <fgColor rgb="000369A1"/>
        <bgColor rgb="000369A1"/>
      </patternFill>
    </fill>
    <fill>
      <patternFill patternType="solid">
        <fgColor rgb="00334155"/>
        <bgColor rgb="00334155"/>
      </patternFill>
    </fill>
    <fill>
      <patternFill patternType="solid">
        <fgColor rgb="000F766E"/>
        <bgColor rgb="000F766E"/>
      </patternFill>
    </fill>
    <fill>
      <patternFill patternType="solid">
        <fgColor rgb="00E0F2FE"/>
        <bgColor rgb="00E0F2FE"/>
      </patternFill>
    </fill>
    <fill>
      <patternFill patternType="solid">
        <fgColor rgb="00F3E8FF"/>
        <bgColor rgb="00F3E8FF"/>
      </patternFill>
    </fill>
    <fill>
      <patternFill patternType="solid">
        <fgColor rgb="00F1F5F9"/>
        <bgColor rgb="00F1F5F9"/>
      </patternFill>
    </fill>
    <fill>
      <patternFill patternType="solid">
        <fgColor rgb="00FEF3C7"/>
        <bgColor rgb="00FEF3C7"/>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E2E8F0"/>
      </left>
      <right style="thin">
        <color rgb="00E2E8F0"/>
      </right>
      <top style="thin">
        <color rgb="00E2E8F0"/>
      </top>
      <bottom style="thin">
        <color rgb="00E2E8F0"/>
      </bottom>
    </border>
  </borders>
  <cellStyleXfs count="1">
    <xf numFmtId="0" fontId="0" fillId="0" borderId="0"/>
  </cellStyleXfs>
  <cellXfs count="48">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left" vertical="center" wrapText="1"/>
    </xf>
    <xf numFmtId="0" fontId="5" fillId="0" borderId="1" applyAlignment="1" pivotButton="0" quotePrefix="0" xfId="0">
      <alignment horizontal="left" vertical="center" wrapText="1"/>
    </xf>
    <xf numFmtId="0" fontId="0" fillId="0" borderId="1" pivotButton="0" quotePrefix="0" xfId="0"/>
    <xf numFmtId="0" fontId="6" fillId="3" borderId="0" applyAlignment="1" pivotButton="0" quotePrefix="0" xfId="0">
      <alignment horizontal="center" vertical="center" wrapText="1"/>
    </xf>
    <xf numFmtId="0" fontId="7" fillId="4" borderId="1" applyAlignment="1" pivotButton="0" quotePrefix="0" xfId="0">
      <alignment horizontal="center" vertical="center" wrapText="1"/>
    </xf>
    <xf numFmtId="0" fontId="8" fillId="2"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5" borderId="0" applyAlignment="1" pivotButton="0" quotePrefix="0" xfId="0">
      <alignment horizontal="center" vertical="center" wrapText="1"/>
    </xf>
    <xf numFmtId="0" fontId="12" fillId="0" borderId="1" applyAlignment="1" pivotButton="0" quotePrefix="0" xfId="0">
      <alignment horizontal="left" vertical="center" wrapText="1"/>
    </xf>
    <xf numFmtId="0" fontId="11" fillId="3" borderId="0" applyAlignment="1" pivotButton="0" quotePrefix="0" xfId="0">
      <alignment horizontal="left" vertical="center" wrapText="1"/>
    </xf>
    <xf numFmtId="0" fontId="4" fillId="4" borderId="2" applyAlignment="1" pivotButton="0" quotePrefix="0" xfId="0">
      <alignment horizontal="left" vertical="center" wrapText="1"/>
    </xf>
    <xf numFmtId="0" fontId="5" fillId="4" borderId="2" applyAlignment="1" pivotButton="0" quotePrefix="0" xfId="0">
      <alignment horizontal="left" vertical="center" wrapText="1"/>
    </xf>
    <xf numFmtId="0" fontId="0" fillId="0" borderId="2" pivotButton="0" quotePrefix="0" xfId="0"/>
    <xf numFmtId="0" fontId="11" fillId="6" borderId="0" applyAlignment="1" pivotButton="0" quotePrefix="0" xfId="0">
      <alignment horizontal="left" vertical="center" wrapText="1"/>
    </xf>
    <xf numFmtId="0" fontId="11" fillId="7" borderId="0" applyAlignment="1" pivotButton="0" quotePrefix="0" xfId="0">
      <alignment horizontal="left" vertical="center" wrapText="1"/>
    </xf>
    <xf numFmtId="0" fontId="11" fillId="8" borderId="0" applyAlignment="1" pivotButton="0" quotePrefix="0" xfId="0">
      <alignment horizontal="left" vertical="center" wrapText="1"/>
    </xf>
    <xf numFmtId="0" fontId="11" fillId="5" borderId="1" applyAlignment="1" pivotButton="0" quotePrefix="0" xfId="0">
      <alignment horizontal="center" vertical="center" wrapText="1"/>
    </xf>
    <xf numFmtId="0" fontId="13" fillId="4" borderId="2" applyAlignment="1" pivotButton="0" quotePrefix="0" xfId="0">
      <alignment horizontal="center" vertical="center" wrapText="1"/>
    </xf>
    <xf numFmtId="0" fontId="13"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12" fillId="9" borderId="2" applyAlignment="1" pivotButton="0" quotePrefix="0" xfId="0">
      <alignment horizontal="center" vertical="center" wrapText="1"/>
    </xf>
    <xf numFmtId="0" fontId="14" fillId="2" borderId="2" applyAlignment="1" pivotButton="0" quotePrefix="0" xfId="0">
      <alignment horizontal="center" vertical="center" wrapText="1"/>
    </xf>
    <xf numFmtId="0" fontId="13" fillId="0" borderId="2" applyAlignment="1" pivotButton="0" quotePrefix="0" xfId="0">
      <alignment horizontal="center" vertical="center" wrapText="1"/>
    </xf>
    <xf numFmtId="0" fontId="5" fillId="0" borderId="2" applyAlignment="1" pivotButton="0" quotePrefix="0" xfId="0">
      <alignment horizontal="left" vertical="center" wrapText="1"/>
    </xf>
    <xf numFmtId="0" fontId="13" fillId="0" borderId="2" applyAlignment="1" pivotButton="0" quotePrefix="0" xfId="0">
      <alignment horizontal="left" vertical="center" wrapText="1"/>
    </xf>
    <xf numFmtId="0" fontId="5" fillId="0" borderId="2" applyAlignment="1" pivotButton="0" quotePrefix="0" xfId="0">
      <alignment horizontal="center" vertical="center" wrapText="1"/>
    </xf>
    <xf numFmtId="0" fontId="15" fillId="10" borderId="2" applyAlignment="1" pivotButton="0" quotePrefix="0" xfId="0">
      <alignment horizontal="center" vertical="center" wrapText="1"/>
    </xf>
    <xf numFmtId="0" fontId="16" fillId="11" borderId="2" applyAlignment="1" pivotButton="0" quotePrefix="0" xfId="0">
      <alignment horizontal="center" vertical="center" wrapText="1"/>
    </xf>
    <xf numFmtId="0" fontId="4" fillId="2" borderId="1" applyAlignment="1" pivotButton="0" quotePrefix="0" xfId="0">
      <alignment horizontal="right" vertical="center"/>
    </xf>
    <xf numFmtId="164" fontId="13" fillId="2" borderId="1" applyAlignment="1" pivotButton="0" quotePrefix="0" xfId="0">
      <alignment horizontal="center" vertical="center" wrapText="1"/>
    </xf>
    <xf numFmtId="0" fontId="13" fillId="2" borderId="1" applyAlignment="1" pivotButton="0" quotePrefix="0" xfId="0">
      <alignment horizontal="center" vertical="center" wrapText="1"/>
    </xf>
    <xf numFmtId="164" fontId="13" fillId="0" borderId="2" applyAlignment="1" pivotButton="0" quotePrefix="0" xfId="0">
      <alignment horizontal="center" vertical="center" wrapText="1"/>
    </xf>
    <xf numFmtId="164" fontId="5" fillId="0" borderId="2" applyAlignment="1" pivotButton="0" quotePrefix="0" xfId="0">
      <alignment horizontal="center" vertical="center" wrapText="1"/>
    </xf>
    <xf numFmtId="9" fontId="5" fillId="0" borderId="2" applyAlignment="1" pivotButton="0" quotePrefix="0" xfId="0">
      <alignment horizontal="center" vertical="center" wrapText="1"/>
    </xf>
    <xf numFmtId="0" fontId="4" fillId="2" borderId="0" applyAlignment="1" pivotButton="0" quotePrefix="0" xfId="0">
      <alignment horizontal="center" vertical="center" wrapText="1"/>
    </xf>
    <xf numFmtId="9" fontId="13" fillId="2" borderId="1" applyAlignment="1" pivotButton="0" quotePrefix="0" xfId="0">
      <alignment horizontal="center" vertical="center" wrapText="1"/>
    </xf>
    <xf numFmtId="164" fontId="8" fillId="2" borderId="1" applyAlignment="1" pivotButton="0" quotePrefix="0" xfId="0">
      <alignment horizontal="center" vertical="center" wrapText="1"/>
    </xf>
    <xf numFmtId="0" fontId="17" fillId="3" borderId="0" applyAlignment="1" pivotButton="0" quotePrefix="0" xfId="0">
      <alignment horizontal="center" vertical="center" wrapText="1"/>
    </xf>
    <xf numFmtId="164" fontId="13" fillId="4" borderId="2" applyAlignment="1" pivotButton="0" quotePrefix="0" xfId="0">
      <alignment horizontal="center" vertical="center" wrapText="1"/>
    </xf>
    <xf numFmtId="0" fontId="18" fillId="4" borderId="2" applyAlignment="1" pivotButton="0" quotePrefix="0" xfId="0">
      <alignment horizontal="left" vertical="center" wrapText="1"/>
    </xf>
    <xf numFmtId="165" fontId="13"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19" fillId="1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I30"/>
  <sheetViews>
    <sheetView showGridLines="1" workbookViewId="0">
      <selection activeCell="A1" sqref="A1"/>
    </sheetView>
  </sheetViews>
  <sheetFormatPr baseColWidth="8" defaultRowHeight="15" outlineLevelCol="0"/>
  <cols>
    <col width="3" customWidth="1" min="1" max="1"/>
    <col width="24" customWidth="1" min="2" max="2"/>
    <col width="20" customWidth="1" min="3" max="3"/>
    <col width="18" customWidth="1" min="4" max="4"/>
    <col width="18" customWidth="1" min="5" max="5"/>
    <col width="18" customWidth="1" min="6" max="6"/>
    <col width="20" customWidth="1" min="7" max="7"/>
    <col width="20" customWidth="1" min="8" max="8"/>
    <col width="24" customWidth="1" min="9" max="9"/>
  </cols>
  <sheetData>
    <row r="2">
      <c r="B2" s="1" t="inlineStr">
        <is>
          <t>UNIVERSIDAD DE SAN MARTÍN DE PORRES — FACULTAD DE INGENIERÍA Y ARQUITECTURA</t>
        </is>
      </c>
    </row>
    <row r="3">
      <c r="B3" s="2" t="inlineStr">
        <is>
          <t>ESCUELA PROFESIONAL DE INGENIERÍA DE COMPUTACIÓN Y SISTEMAS · DISEÑO E IMPLEMENTACIÓN DE SISTEMAS</t>
        </is>
      </c>
    </row>
    <row r="4">
      <c r="B4" s="3" t="inlineStr">
        <is>
          <t>PLANIFICACIÓN DEL SPRINT 1 (SEMANA 7) — PROYECTO ADUANATRACK</t>
        </is>
      </c>
    </row>
    <row r="6">
      <c r="B6" s="4" t="inlineStr">
        <is>
          <t>Proyecto</t>
        </is>
      </c>
      <c r="C6" s="5" t="inlineStr">
        <is>
          <t>Sistema de Seguimiento Aduanero de Importaciones Marítimas (ADUANATRACK)</t>
        </is>
      </c>
      <c r="D6" s="6" t="n"/>
      <c r="E6" s="6" t="n"/>
      <c r="F6" s="6" t="n"/>
      <c r="G6" s="6" t="n"/>
      <c r="H6" s="6" t="n"/>
      <c r="I6" s="6" t="n"/>
    </row>
    <row r="7">
      <c r="B7" s="4" t="inlineStr">
        <is>
          <t>Código de Proyecto</t>
        </is>
      </c>
      <c r="C7" s="5" t="inlineStr">
        <is>
          <t>PROY-ADU-2026-01 · Grupo 2</t>
        </is>
      </c>
      <c r="D7" s="6" t="n"/>
      <c r="E7" s="6" t="n"/>
      <c r="F7" s="6" t="n"/>
      <c r="G7" s="6" t="n"/>
      <c r="H7" s="6" t="n"/>
      <c r="I7" s="6" t="n"/>
    </row>
    <row r="8">
      <c r="B8" s="4" t="inlineStr">
        <is>
          <t>Docente Asignado</t>
        </is>
      </c>
      <c r="C8" s="5" t="inlineStr">
        <is>
          <t>Mg. Juan Manuel Huapalla García (jhuapalla@usmp.pe / jhuapallag@usmp.pe)</t>
        </is>
      </c>
      <c r="D8" s="6" t="n"/>
      <c r="E8" s="6" t="n"/>
      <c r="F8" s="6" t="n"/>
      <c r="G8" s="6" t="n"/>
      <c r="H8" s="6" t="n"/>
      <c r="I8" s="6" t="n"/>
    </row>
    <row r="9">
      <c r="B9" s="4" t="inlineStr">
        <is>
          <t>Hito y Temporalidad</t>
        </is>
      </c>
      <c r="C9" s="5" t="inlineStr">
        <is>
          <t>Semana 7 — Sprint 1 (Duración: 3 semanas · Semanas 7 a 9 · 15 días hábiles)</t>
        </is>
      </c>
      <c r="D9" s="6" t="n"/>
      <c r="E9" s="6" t="n"/>
      <c r="F9" s="6" t="n"/>
      <c r="G9" s="6" t="n"/>
      <c r="H9" s="6" t="n"/>
      <c r="I9" s="6" t="n"/>
    </row>
    <row r="10">
      <c r="B10" s="4" t="inlineStr">
        <is>
          <t>Scrum Master</t>
        </is>
      </c>
      <c r="C10" s="5" t="inlineStr">
        <is>
          <t>Tipian Jacobo, Alvaro Gustavo (Facilitador &amp; Backend Developer)</t>
        </is>
      </c>
      <c r="D10" s="6" t="n"/>
      <c r="E10" s="6" t="n"/>
      <c r="F10" s="6" t="n"/>
      <c r="G10" s="6" t="n"/>
      <c r="H10" s="6" t="n"/>
      <c r="I10" s="6" t="n"/>
    </row>
    <row r="11">
      <c r="B11" s="4" t="inlineStr">
        <is>
          <t>Product Owner</t>
        </is>
      </c>
      <c r="C11" s="5" t="inlineStr">
        <is>
          <t>Altamirano Zuñiga, Juan Diego (Gestión de Requerimientos &amp; Criterios BDD)</t>
        </is>
      </c>
      <c r="D11" s="6" t="n"/>
      <c r="E11" s="6" t="n"/>
      <c r="F11" s="6" t="n"/>
      <c r="G11" s="6" t="n"/>
      <c r="H11" s="6" t="n"/>
      <c r="I11" s="6" t="n"/>
    </row>
    <row r="12">
      <c r="B12" s="4" t="inlineStr">
        <is>
          <t>Equipo de Desarrollo</t>
        </is>
      </c>
      <c r="C12" s="5" t="inlineStr">
        <is>
          <t>Linares Estivariz, Kiara Leticia (Frontend) · Ponce Simeón, Patrick Vossler (Backend) · Saavedra García, Fabio Enrique (Backend/DevOps)</t>
        </is>
      </c>
      <c r="D12" s="6" t="n"/>
      <c r="E12" s="6" t="n"/>
      <c r="F12" s="6" t="n"/>
      <c r="G12" s="6" t="n"/>
      <c r="H12" s="6" t="n"/>
      <c r="I12" s="6" t="n"/>
    </row>
    <row r="13">
      <c r="B13" s="4" t="inlineStr">
        <is>
          <t>Alcance Funcional</t>
        </is>
      </c>
      <c r="C13" s="5" t="inlineStr">
        <is>
          <t>5 Historias de Usuario Comprometidas (23 Story Points) · 31 Tareas Técnicas SMART (109 Horas)</t>
        </is>
      </c>
      <c r="D13" s="6" t="n"/>
      <c r="E13" s="6" t="n"/>
      <c r="F13" s="6" t="n"/>
      <c r="G13" s="6" t="n"/>
      <c r="H13" s="6" t="n"/>
      <c r="I13" s="6" t="n"/>
    </row>
    <row r="14">
      <c r="B14" s="4" t="inlineStr">
        <is>
          <t>Técnica de Priorización</t>
        </is>
      </c>
      <c r="C14" s="5" t="inlineStr">
        <is>
          <t>Método MoSCoW + Matriz Valor de Negocio vs. Esfuerzo Técnico + Grafo de Dependencias</t>
        </is>
      </c>
      <c r="D14" s="6" t="n"/>
      <c r="E14" s="6" t="n"/>
      <c r="F14" s="6" t="n"/>
      <c r="G14" s="6" t="n"/>
      <c r="H14" s="6" t="n"/>
      <c r="I14" s="6" t="n"/>
    </row>
    <row r="16">
      <c r="B16" s="7" t="inlineStr">
        <is>
          <t>OBJETIVO DEL SPRINT 1 (SPRINT GOAL) — COMPROMISO DEL EQUIPO</t>
        </is>
      </c>
    </row>
    <row r="17">
      <c r="B17" s="8" t="inlineStr">
        <is>
          <t>«Habilitar el flujo base de apertura y seguimiento inicial de despachos de importación marítima: acceso seguro al sistema, registro de clientes/importadores, apertura de un nuevo despacho y registro de la información de embarque (BL), con visibilidad centralizada del estado de los despachos en el Dashboard».</t>
        </is>
      </c>
      <c r="C17" s="6" t="n"/>
      <c r="D17" s="6" t="n"/>
      <c r="E17" s="6" t="n"/>
      <c r="F17" s="6" t="n"/>
      <c r="G17" s="6" t="n"/>
      <c r="H17" s="6" t="n"/>
      <c r="I17" s="6" t="n"/>
    </row>
    <row r="18">
      <c r="B18" s="6" t="n"/>
      <c r="C18" s="6" t="n"/>
      <c r="D18" s="6" t="n"/>
      <c r="E18" s="6" t="n"/>
      <c r="F18" s="6" t="n"/>
      <c r="G18" s="6" t="n"/>
      <c r="H18" s="6" t="n"/>
      <c r="I18" s="6" t="n"/>
    </row>
    <row r="19">
      <c r="B19" s="6" t="n"/>
      <c r="C19" s="6" t="n"/>
      <c r="D19" s="6" t="n"/>
      <c r="E19" s="6" t="n"/>
      <c r="F19" s="6" t="n"/>
      <c r="G19" s="6" t="n"/>
      <c r="H19" s="6" t="n"/>
      <c r="I19" s="6" t="n"/>
    </row>
    <row r="21">
      <c r="B21" s="9" t="inlineStr">
        <is>
          <t>23 SP</t>
        </is>
      </c>
      <c r="C21" s="6" t="n"/>
      <c r="D21" s="9" t="inlineStr">
        <is>
          <t>5 HUs</t>
        </is>
      </c>
      <c r="E21" s="6" t="n"/>
      <c r="F21" s="9" t="inlineStr">
        <is>
          <t>109 Horas</t>
        </is>
      </c>
      <c r="G21" s="6" t="n"/>
      <c r="H21" s="9" t="inlineStr">
        <is>
          <t>3 Semanas</t>
        </is>
      </c>
      <c r="I21" s="6" t="n"/>
    </row>
    <row r="22">
      <c r="B22" s="10" t="inlineStr">
        <is>
          <t>Puntos de Historia</t>
        </is>
      </c>
      <c r="C22" s="6" t="n"/>
      <c r="D22" s="10" t="inlineStr">
        <is>
          <t>Historias Comprometidas</t>
        </is>
      </c>
      <c r="E22" s="6" t="n"/>
      <c r="F22" s="10" t="inlineStr">
        <is>
          <t>Esfuerzo en Tareas</t>
        </is>
      </c>
      <c r="G22" s="6" t="n"/>
      <c r="H22" s="10" t="inlineStr">
        <is>
          <t>Duración del Sprint</t>
        </is>
      </c>
      <c r="I22" s="6" t="n"/>
    </row>
    <row r="23">
      <c r="B23" s="11" t="inlineStr">
        <is>
          <t>Consenso Planning Poker</t>
        </is>
      </c>
      <c r="C23" s="6" t="n"/>
      <c r="D23" s="11" t="inlineStr">
        <is>
          <t>Criterios INVEST validados</t>
        </is>
      </c>
      <c r="E23" s="6" t="n"/>
      <c r="F23" s="11" t="inlineStr">
        <is>
          <t>31 Tareas Técnicas SMART</t>
        </is>
      </c>
      <c r="G23" s="6" t="n"/>
      <c r="H23" s="11" t="inlineStr">
        <is>
          <t>Semanas S7 a S9 (15 días)</t>
        </is>
      </c>
      <c r="I23" s="6" t="n"/>
    </row>
    <row r="26">
      <c r="B26" s="12" t="inlineStr">
        <is>
          <t>HERRAMIENTAS CASE Y EVIDENCIAS DE GOBERNANZA EXIGIDAS POR EL DOCENTE</t>
        </is>
      </c>
    </row>
    <row r="27">
      <c r="B27" s="4" t="inlineStr">
        <is>
          <t>Tablero Kanban</t>
        </is>
      </c>
      <c r="C27" s="5" t="inlineStr">
        <is>
          <t>Jira Software / Trello con 7 estados aduaneros, límites WIP (máx 2 por dev) y asignación transparente.</t>
        </is>
      </c>
      <c r="D27" s="6" t="n"/>
      <c r="E27" s="6" t="n"/>
      <c r="F27" s="6" t="n"/>
      <c r="G27" s="13" t="inlineStr">
        <is>
          <t>Docente invitado con: jhuapallag@usmp.pe</t>
        </is>
      </c>
      <c r="H27" s="6" t="n"/>
      <c r="I27" s="6" t="n"/>
    </row>
    <row r="28">
      <c r="B28" s="4" t="inlineStr">
        <is>
          <t>Repositorio Git</t>
        </is>
      </c>
      <c r="C28" s="5" t="inlineStr">
        <is>
          <t>Arquitectura GitFlow en GitHub con ramas main, develop y feature/HU-XX, más branch protection.</t>
        </is>
      </c>
      <c r="D28" s="6" t="n"/>
      <c r="E28" s="6" t="n"/>
      <c r="F28" s="6" t="n"/>
      <c r="G28" s="13" t="inlineStr">
        <is>
          <t>Docente invitado con: jhuapalla@usmp.pe</t>
        </is>
      </c>
      <c r="H28" s="6" t="n"/>
      <c r="I28" s="6" t="n"/>
    </row>
    <row r="29">
      <c r="B29" s="4" t="inlineStr">
        <is>
          <t>Escaneo de Vulnerabilidades</t>
        </is>
      </c>
      <c r="C29" s="5" t="inlineStr">
        <is>
          <t>Análisis estático de seguridad SAST y dependencias con SonarQube Cloud / Snyk (Quality Gate 0 críticos).</t>
        </is>
      </c>
      <c r="D29" s="6" t="n"/>
      <c r="E29" s="6" t="n"/>
      <c r="F29" s="6" t="n"/>
      <c r="G29" s="13" t="inlineStr">
        <is>
          <t>Reporte de hallazgos y correcciones en Semana 9</t>
        </is>
      </c>
      <c r="H29" s="6" t="n"/>
      <c r="I29" s="6" t="n"/>
    </row>
    <row r="30">
      <c r="B30" s="4" t="inlineStr">
        <is>
          <t>Daily Scrums y Videos</t>
        </is>
      </c>
      <c r="C30" s="5" t="inlineStr">
        <is>
          <t>Reuniones diarias de 15 minutos (20:00 h). Grabación semanal obligatoria en Semanas 7, 8 y 9.</t>
        </is>
      </c>
      <c r="D30" s="6" t="n"/>
      <c r="E30" s="6" t="n"/>
      <c r="F30" s="6" t="n"/>
      <c r="G30" s="13" t="inlineStr">
        <is>
          <t>Enlaces compartidos semanalmente en Drive/YouTube</t>
        </is>
      </c>
      <c r="H30" s="6" t="n"/>
      <c r="I30" s="6" t="n"/>
    </row>
  </sheetData>
  <mergeCells count="35">
    <mergeCell ref="G28:I28"/>
    <mergeCell ref="C8:I8"/>
    <mergeCell ref="B16:I16"/>
    <mergeCell ref="B3:I3"/>
    <mergeCell ref="B22:C22"/>
    <mergeCell ref="C7:I7"/>
    <mergeCell ref="D22:E22"/>
    <mergeCell ref="G30:I30"/>
    <mergeCell ref="C28:F28"/>
    <mergeCell ref="D21:E21"/>
    <mergeCell ref="F21:G21"/>
    <mergeCell ref="B21:C21"/>
    <mergeCell ref="C13:I13"/>
    <mergeCell ref="H21:I21"/>
    <mergeCell ref="B2:I2"/>
    <mergeCell ref="B23:C23"/>
    <mergeCell ref="C30:F30"/>
    <mergeCell ref="C6:I6"/>
    <mergeCell ref="G29:I29"/>
    <mergeCell ref="C14:I14"/>
    <mergeCell ref="B17:I19"/>
    <mergeCell ref="F23:G23"/>
    <mergeCell ref="C29:F29"/>
    <mergeCell ref="F22:G22"/>
    <mergeCell ref="C10:I10"/>
    <mergeCell ref="H22:I22"/>
    <mergeCell ref="C9:I9"/>
    <mergeCell ref="G27:I27"/>
    <mergeCell ref="D23:E23"/>
    <mergeCell ref="C12:I12"/>
    <mergeCell ref="H23:I23"/>
    <mergeCell ref="C27:F27"/>
    <mergeCell ref="C11:I11"/>
    <mergeCell ref="B4:I4"/>
    <mergeCell ref="B26:I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I27"/>
  <sheetViews>
    <sheetView showGridLines="1" workbookViewId="0">
      <selection activeCell="A1" sqref="A1"/>
    </sheetView>
  </sheetViews>
  <sheetFormatPr baseColWidth="8" defaultRowHeight="15" outlineLevelCol="0"/>
  <cols>
    <col width="3" customWidth="1" min="1" max="1"/>
    <col width="24" customWidth="1" min="2" max="2"/>
    <col width="20" customWidth="1" min="3" max="3"/>
    <col width="18" customWidth="1" min="4" max="4"/>
    <col width="18" customWidth="1" min="5" max="5"/>
    <col width="18" customWidth="1" min="6" max="6"/>
    <col width="20" customWidth="1" min="7" max="7"/>
    <col width="20" customWidth="1" min="8" max="8"/>
    <col width="24" customWidth="1" min="9" max="9"/>
  </cols>
  <sheetData>
    <row r="2">
      <c r="B2" s="3" t="inlineStr">
        <is>
          <t>MARCO METODOLÓGICO Y TÉCNICAS APLICADAS EN LA SPRINT PLANNING</t>
        </is>
      </c>
    </row>
    <row r="4">
      <c r="B4" s="14" t="inlineStr">
        <is>
          <t>1. TÉCNICA DE PRIORIZACIÓN MoSCoW EN EL NEGOCIO ADUANERO</t>
        </is>
      </c>
    </row>
    <row r="5">
      <c r="B5" s="15" t="inlineStr">
        <is>
          <t>Must Have (Debe tener):</t>
        </is>
      </c>
      <c r="C5" s="16" t="inlineStr">
        <is>
          <t>Funcionalidades vitales del núcleo operativo sin las cuales es inviable iniciar el despacho aduanero. Para el Sprint 1 corresponden: autenticación segura (HU-01), catálogo maestro de importadores con validación fiscal de RUC (HU-04), apertura del expediente con correlativo atómico (HU-03) y registro del conocimiento de embarque marítimo - BL (HU-05).</t>
        </is>
      </c>
      <c r="D5" s="17" t="n"/>
      <c r="E5" s="17" t="n"/>
      <c r="F5" s="17" t="n"/>
      <c r="G5" s="17" t="n"/>
      <c r="H5" s="17" t="n"/>
      <c r="I5" s="17" t="n"/>
    </row>
    <row r="6">
      <c r="B6" s="15" t="inlineStr">
        <is>
          <t>Should Have (Debería tener):</t>
        </is>
      </c>
      <c r="C6" s="16" t="inlineStr">
        <is>
          <t>Requerimientos de alto impacto y valor comercial que proporcionan visibilidad centralizada. Para el Sprint 1 se incorpora el Panel de seguimiento / Dashboard (HU-02) para monitorear el estado operativo y las alertas de arribo.</t>
        </is>
      </c>
      <c r="D6" s="17" t="n"/>
      <c r="E6" s="17" t="n"/>
      <c r="F6" s="17" t="n"/>
      <c r="G6" s="17" t="n"/>
      <c r="H6" s="17" t="n"/>
      <c r="I6" s="17" t="n"/>
    </row>
    <row r="7">
      <c r="B7" s="15" t="inlineStr">
        <is>
          <t>Could Have (Podría tener):</t>
        </is>
      </c>
      <c r="C7" s="16" t="inlineStr">
        <is>
          <t>Funcionalidades convenientes pero secundarias (ej. reportería gerencial avanzada y analítica de KPIs de HU-15), que se difieren para iteraciones donde la infraestructura base ya esté consolidada.</t>
        </is>
      </c>
      <c r="D7" s="17" t="n"/>
      <c r="E7" s="17" t="n"/>
      <c r="F7" s="17" t="n"/>
      <c r="G7" s="17" t="n"/>
      <c r="H7" s="17" t="n"/>
      <c r="I7" s="17" t="n"/>
    </row>
    <row r="8">
      <c r="B8" s="15" t="inlineStr">
        <is>
          <t>Won't Have this time (No se tendrá por ahora):</t>
        </is>
      </c>
      <c r="C8" s="16" t="inlineStr">
        <is>
          <t>Historias postergadas planificadamente para los Sprints 2 y 3 (HU-06 a HU-15: carga documental, clasificación arancelaria, cálculo de tributos, DAM, canal de control, inspección y levante) para proteger el foco y garantizar un incremento terminado y sin deuda técnica.</t>
        </is>
      </c>
      <c r="D8" s="17" t="n"/>
      <c r="E8" s="17" t="n"/>
      <c r="F8" s="17" t="n"/>
      <c r="G8" s="17" t="n"/>
      <c r="H8" s="17" t="n"/>
      <c r="I8" s="17" t="n"/>
    </row>
    <row r="10">
      <c r="B10" s="18" t="inlineStr">
        <is>
          <t>2. MATRIZ DE VALOR DE NEGOCIO vs. ESFUERZO TÉCNICO (IMPACTO vs. COMPLEJIDAD)</t>
        </is>
      </c>
    </row>
    <row r="11">
      <c r="B11" s="15" t="inlineStr">
        <is>
          <t>Ponderación del Valor de Negocio (1 al 10):</t>
        </is>
      </c>
      <c r="C11" s="16" t="inlineStr">
        <is>
          <t>Evaluado por el Product Owner en función de la criticidad en la normativa aduanera SUNAT, mitigación de riesgos de multas/sobrestadía y satisfacción del cliente importador.</t>
        </is>
      </c>
      <c r="D11" s="17" t="n"/>
      <c r="E11" s="17" t="n"/>
      <c r="F11" s="17" t="n"/>
      <c r="G11" s="17" t="n"/>
      <c r="H11" s="17" t="n"/>
      <c r="I11" s="17" t="n"/>
    </row>
    <row r="12">
      <c r="B12" s="15" t="inlineStr">
        <is>
          <t>Estimación de Esfuerzo (Story Points):</t>
        </is>
      </c>
      <c r="C12" s="16" t="inlineStr">
        <is>
          <t>Estimado por los Developers mediante Planning Poker con la serie Fibonacci (1, 2, 3, 5, 8), considerando arquitectura, lógica transaccional, integraciones y pruebas.</t>
        </is>
      </c>
      <c r="D12" s="17" t="n"/>
      <c r="E12" s="17" t="n"/>
      <c r="F12" s="17" t="n"/>
      <c r="G12" s="17" t="n"/>
      <c r="H12" s="17" t="n"/>
      <c r="I12" s="17" t="n"/>
    </row>
    <row r="13">
      <c r="B13" s="15" t="inlineStr">
        <is>
          <t>Cuadrante Quick Wins (Alto Valor / Bajo Esfuerzo):</t>
        </is>
      </c>
      <c r="C13" s="16" t="inlineStr">
        <is>
          <t>HU-01 (Autenticación: 3 SP, Valor 10/10) se ejecuta de inmediato como cimiento de seguridad perimetral.</t>
        </is>
      </c>
      <c r="D13" s="17" t="n"/>
      <c r="E13" s="17" t="n"/>
      <c r="F13" s="17" t="n"/>
      <c r="G13" s="17" t="n"/>
      <c r="H13" s="17" t="n"/>
      <c r="I13" s="17" t="n"/>
    </row>
    <row r="14">
      <c r="B14" s="15" t="inlineStr">
        <is>
          <t>Cuadrante Estratégico Core (Alto Valor / Mayor Esfuerzo):</t>
        </is>
      </c>
      <c r="C14" s="16" t="inlineStr">
        <is>
          <t>HU-03, HU-04, HU-05 y HU-02 representan el flujo transaccional principal del despacho aduanero y componen el incremento del Sprint 1.</t>
        </is>
      </c>
      <c r="D14" s="17" t="n"/>
      <c r="E14" s="17" t="n"/>
      <c r="F14" s="17" t="n"/>
      <c r="G14" s="17" t="n"/>
      <c r="H14" s="17" t="n"/>
      <c r="I14" s="17" t="n"/>
    </row>
    <row r="16">
      <c r="B16" s="19" t="inlineStr">
        <is>
          <t>3. ANÁLISIS DE RUTA CRÍTICA Y GRAFO DE DEPENDENCIAS TÉCNICAS</t>
        </is>
      </c>
    </row>
    <row r="17">
      <c r="B17" s="15" t="inlineStr">
        <is>
          <t>Paralelismo Inicial (Día 1):</t>
        </is>
      </c>
      <c r="C17" s="16" t="inlineStr">
        <is>
          <t>HU-01 (Seguridad) y HU-04 (Importadores) son funcionalmente independientes y se desarrollan en paralelo desde el inicio del sprint.</t>
        </is>
      </c>
      <c r="D17" s="17" t="n"/>
      <c r="E17" s="17" t="n"/>
      <c r="F17" s="17" t="n"/>
      <c r="G17" s="17" t="n"/>
      <c r="H17" s="17" t="n"/>
      <c r="I17" s="17" t="n"/>
    </row>
    <row r="18">
      <c r="B18" s="15" t="inlineStr">
        <is>
          <t>Dependencia Despacho -&gt; Importador:</t>
        </is>
      </c>
      <c r="C18" s="16" t="inlineStr">
        <is>
          <t>HU-03 requiere obligatoriamente que el cliente importador exista y tenga carta poder validada en HU-04.</t>
        </is>
      </c>
      <c r="D18" s="17" t="n"/>
      <c r="E18" s="17" t="n"/>
      <c r="F18" s="17" t="n"/>
      <c r="G18" s="17" t="n"/>
      <c r="H18" s="17" t="n"/>
      <c r="I18" s="17" t="n"/>
    </row>
    <row r="19">
      <c r="B19" s="15" t="inlineStr">
        <is>
          <t>Dependencia Embarque -&gt; Despacho:</t>
        </is>
      </c>
      <c r="C19" s="16" t="inlineStr">
        <is>
          <t>HU-05 requiere la existencia previa del expediente de despacho aperturado en HU-03 para asociar el conocimiento de embarque (BL) y los contenedores.</t>
        </is>
      </c>
      <c r="D19" s="17" t="n"/>
      <c r="E19" s="17" t="n"/>
      <c r="F19" s="17" t="n"/>
      <c r="G19" s="17" t="n"/>
      <c r="H19" s="17" t="n"/>
      <c r="I19" s="17" t="n"/>
    </row>
    <row r="20">
      <c r="B20" s="15" t="inlineStr">
        <is>
          <t>Dependencia Dashboard -&gt; Seguridad:</t>
        </is>
      </c>
      <c r="C20" s="16" t="inlineStr">
        <is>
          <t>HU-02 consume las sesiones y tokens generados en HU-01 para filtrar despachos por permisos del usuario.</t>
        </is>
      </c>
      <c r="D20" s="17" t="n"/>
      <c r="E20" s="17" t="n"/>
      <c r="F20" s="17" t="n"/>
      <c r="G20" s="17" t="n"/>
      <c r="H20" s="17" t="n"/>
      <c r="I20" s="17" t="n"/>
    </row>
    <row r="22">
      <c r="B22" s="20" t="inlineStr">
        <is>
          <t>4. TEORÍA DE HISTORIAS DE USUARIO Y CRITERIOS DE CALIDAD (INVEST, 3C, SMART)</t>
        </is>
      </c>
    </row>
    <row r="23">
      <c r="B23" s="15" t="inlineStr">
        <is>
          <t>Regla de las 3C (Ron Jeffries):</t>
        </is>
      </c>
      <c r="C23" s="16" t="inlineStr">
        <is>
          <t>Card (Tarjeta con sintaxis 'Como [rol], Quiero [verbo infinitivo], Para [beneficio]'), Conversation (refinamiento colaborativo PO-Developers) y Confirmation (4 Criterios de Aceptación Gherkin Dado-Cuando-Entonces por historia).</t>
        </is>
      </c>
      <c r="D23" s="17" t="n"/>
      <c r="E23" s="17" t="n"/>
      <c r="F23" s="17" t="n"/>
      <c r="G23" s="17" t="n"/>
      <c r="H23" s="17" t="n"/>
      <c r="I23" s="17" t="n"/>
    </row>
    <row r="24">
      <c r="B24" s="15" t="inlineStr">
        <is>
          <t>Modelo INVEST (Bill Wake):</t>
        </is>
      </c>
      <c r="C24" s="16" t="inlineStr">
        <is>
          <t>Historias Independientes, Negociables, Valiosas, Estimables, Pequeñas (≤ 5 SP en Sprint 1) y Testeables.</t>
        </is>
      </c>
      <c r="D24" s="17" t="n"/>
      <c r="E24" s="17" t="n"/>
      <c r="F24" s="17" t="n"/>
      <c r="G24" s="17" t="n"/>
      <c r="H24" s="17" t="n"/>
      <c r="I24" s="17" t="n"/>
    </row>
    <row r="25">
      <c r="B25" s="15" t="inlineStr">
        <is>
          <t>Criterios SMART para Tareas:</t>
        </is>
      </c>
      <c r="C25" s="16" t="inlineStr">
        <is>
          <t>Cada una de las 31 tareas técnicas es Específica (componente técnico concreto), Medible (criterio de verificación), Alcanzable, Relevante (alineada al Sprint Goal) y Temporal (≤ 1 día / 8 horas).</t>
        </is>
      </c>
      <c r="D25" s="17" t="n"/>
      <c r="E25" s="17" t="n"/>
      <c r="F25" s="17" t="n"/>
      <c r="G25" s="17" t="n"/>
      <c r="H25" s="17" t="n"/>
      <c r="I25" s="17" t="n"/>
    </row>
    <row r="26">
      <c r="B26" s="15" t="inlineStr">
        <is>
          <t>Definition of Ready (DoR):</t>
        </is>
      </c>
      <c r="C26" s="16" t="inlineStr">
        <is>
          <t>HU con formato estándar, 4 criterios Gherkin, mockup UI y dependencias mapeadas.</t>
        </is>
      </c>
      <c r="D26" s="17" t="n"/>
      <c r="E26" s="17" t="n"/>
      <c r="F26" s="17" t="n"/>
      <c r="G26" s="17" t="n"/>
      <c r="H26" s="17" t="n"/>
      <c r="I26" s="17" t="n"/>
    </row>
    <row r="27">
      <c r="B27" s="15" t="inlineStr">
        <is>
          <t>Definition of Done (DoD):</t>
        </is>
      </c>
      <c r="C27" s="16" t="inlineStr">
        <is>
          <t>Código en develop con pruebas unitarias ≥ 75%, peer review aprobado, QA conforme y SAST SonarQube sin críticos.</t>
        </is>
      </c>
      <c r="D27" s="17" t="n"/>
      <c r="E27" s="17" t="n"/>
      <c r="F27" s="17" t="n"/>
      <c r="G27" s="17" t="n"/>
      <c r="H27" s="17" t="n"/>
      <c r="I27" s="17" t="n"/>
    </row>
  </sheetData>
  <mergeCells count="22">
    <mergeCell ref="C23:I23"/>
    <mergeCell ref="C17:I17"/>
    <mergeCell ref="C8:I8"/>
    <mergeCell ref="B16:I16"/>
    <mergeCell ref="B22:I22"/>
    <mergeCell ref="C7:I7"/>
    <mergeCell ref="C19:I19"/>
    <mergeCell ref="C13:I13"/>
    <mergeCell ref="C18:I18"/>
    <mergeCell ref="B2:I2"/>
    <mergeCell ref="C6:I6"/>
    <mergeCell ref="C24:I24"/>
    <mergeCell ref="C5:I5"/>
    <mergeCell ref="C14:I14"/>
    <mergeCell ref="C26:I26"/>
    <mergeCell ref="B10:I10"/>
    <mergeCell ref="C20:I20"/>
    <mergeCell ref="C25:I25"/>
    <mergeCell ref="C12:I12"/>
    <mergeCell ref="C11:I11"/>
    <mergeCell ref="C27:I27"/>
    <mergeCell ref="B4:I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9"/>
  <sheetViews>
    <sheetView showGridLines="1" workbookViewId="0">
      <selection activeCell="A1" sqref="A1"/>
    </sheetView>
  </sheetViews>
  <sheetFormatPr baseColWidth="8" defaultRowHeight="15" outlineLevelCol="0"/>
  <cols>
    <col width="10" customWidth="1" min="1" max="1"/>
    <col width="28" customWidth="1" min="2" max="2"/>
    <col width="10" customWidth="1" min="3" max="3"/>
    <col width="36" customWidth="1" min="4" max="4"/>
    <col width="26" customWidth="1" min="5" max="5"/>
    <col width="36" customWidth="1" min="6" max="6"/>
    <col width="36" customWidth="1" min="7" max="7"/>
    <col width="10" customWidth="1" min="8" max="8"/>
    <col width="10" customWidth="1" min="9" max="9"/>
    <col width="14" customWidth="1" min="10" max="10"/>
    <col width="18" customWidth="1" min="11" max="11"/>
    <col width="14" customWidth="1" min="12" max="12"/>
    <col width="16" customWidth="1" min="13" max="13"/>
    <col width="46" customWidth="1" min="14" max="14"/>
  </cols>
  <sheetData>
    <row r="1" ht="28" customHeight="1">
      <c r="A1" s="3" t="inlineStr">
        <is>
          <t>PRODUCT BACKLOG GENERAL PRIORIZADO — PROYECTO ADUANATRACK (85 STORY POINTS)</t>
        </is>
      </c>
    </row>
    <row r="3" ht="26" customHeight="1">
      <c r="A3" s="21" t="inlineStr">
        <is>
          <t>Épica ID</t>
        </is>
      </c>
      <c r="B3" s="21" t="inlineStr">
        <is>
          <t>Nombre de la Épica</t>
        </is>
      </c>
      <c r="C3" s="21" t="inlineStr">
        <is>
          <t>ID HU</t>
        </is>
      </c>
      <c r="D3" s="21" t="inlineStr">
        <is>
          <t>Historia de Usuario</t>
        </is>
      </c>
      <c r="E3" s="21" t="inlineStr">
        <is>
          <t>Rol (Como...)</t>
        </is>
      </c>
      <c r="F3" s="21" t="inlineStr">
        <is>
          <t>Necesidad (Quiero...)</t>
        </is>
      </c>
      <c r="G3" s="21" t="inlineStr">
        <is>
          <t>Beneficio (Para...)</t>
        </is>
      </c>
      <c r="H3" s="21" t="inlineStr">
        <is>
          <t>SP</t>
        </is>
      </c>
      <c r="I3" s="21" t="inlineStr">
        <is>
          <t>Valor</t>
        </is>
      </c>
      <c r="J3" s="21" t="inlineStr">
        <is>
          <t>Técnica MoSCoW</t>
        </is>
      </c>
      <c r="K3" s="21" t="inlineStr">
        <is>
          <t>Cuadrante Matriz</t>
        </is>
      </c>
      <c r="L3" s="21" t="inlineStr">
        <is>
          <t>Dependencia</t>
        </is>
      </c>
      <c r="M3" s="21" t="inlineStr">
        <is>
          <t>Sprint Asignado</t>
        </is>
      </c>
      <c r="N3" s="21" t="inlineStr">
        <is>
          <t>Criterios Aceptación Gherkin</t>
        </is>
      </c>
    </row>
    <row r="4" ht="24" customHeight="1">
      <c r="A4" s="22" t="inlineStr">
        <is>
          <t>EP-01</t>
        </is>
      </c>
      <c r="B4" s="16" t="inlineStr">
        <is>
          <t>Autenticación, Seguridad y Control de Acceso</t>
        </is>
      </c>
      <c r="C4" s="22" t="inlineStr">
        <is>
          <t>HU-01</t>
        </is>
      </c>
      <c r="D4" s="23" t="inlineStr">
        <is>
          <t>Iniciar sesión en el sistema</t>
        </is>
      </c>
      <c r="E4" s="16" t="inlineStr">
        <is>
          <t>Usuario del sistema (Agente/Admin/Cliente)</t>
        </is>
      </c>
      <c r="F4" s="16" t="inlineStr">
        <is>
          <t>Autenticarme con credenciales seguras y protección de intentos</t>
        </is>
      </c>
      <c r="G4" s="16" t="inlineStr">
        <is>
          <t>Acceder al sistema según los permisos de mi rol operativo</t>
        </is>
      </c>
      <c r="H4" s="22" t="n">
        <v>3</v>
      </c>
      <c r="I4" s="24" t="n">
        <v>10</v>
      </c>
      <c r="J4" s="25" t="inlineStr">
        <is>
          <t>Must Have</t>
        </is>
      </c>
      <c r="K4" s="24" t="inlineStr">
        <is>
          <t>Quick Win</t>
        </is>
      </c>
      <c r="L4" s="24" t="inlineStr">
        <is>
          <t>Ninguna</t>
        </is>
      </c>
      <c r="M4" s="26" t="inlineStr">
        <is>
          <t>Sprint 1</t>
        </is>
      </c>
      <c r="N4" s="16" t="inlineStr">
        <is>
          <t>Dado usuario registrado, cuando ingresa credenciales válidas, entonces accede al sistema. Bloqueo temporal al 3er fallo consecutivo.</t>
        </is>
      </c>
    </row>
    <row r="5" ht="24" customHeight="1">
      <c r="A5" s="27" t="inlineStr">
        <is>
          <t>EP-05</t>
        </is>
      </c>
      <c r="B5" s="28" t="inlineStr">
        <is>
          <t>Monitoreo Operativo y Tablero de Control</t>
        </is>
      </c>
      <c r="C5" s="27" t="inlineStr">
        <is>
          <t>HU-02</t>
        </is>
      </c>
      <c r="D5" s="29" t="inlineStr">
        <is>
          <t>Visualizar panel de seguimiento de despachos (Dashboard)</t>
        </is>
      </c>
      <c r="E5" s="28" t="inlineStr">
        <is>
          <t>Agente de aduana</t>
        </is>
      </c>
      <c r="F5" s="28" t="inlineStr">
        <is>
          <t>Visualizar métricas en tiempo real y listado de despachos en curso</t>
        </is>
      </c>
      <c r="G5" s="28" t="inlineStr">
        <is>
          <t>Monitorear el avance global de operaciones e identificar alertas</t>
        </is>
      </c>
      <c r="H5" s="27" t="n">
        <v>5</v>
      </c>
      <c r="I5" s="30" t="n">
        <v>8</v>
      </c>
      <c r="J5" s="31" t="inlineStr">
        <is>
          <t>Should Have</t>
        </is>
      </c>
      <c r="K5" s="30" t="inlineStr">
        <is>
          <t>Estratégico Core</t>
        </is>
      </c>
      <c r="L5" s="30" t="inlineStr">
        <is>
          <t>HU-01</t>
        </is>
      </c>
      <c r="M5" s="26" t="inlineStr">
        <is>
          <t>Sprint 1</t>
        </is>
      </c>
      <c r="N5" s="28" t="inlineStr">
        <is>
          <t>Dado despachos registrados, cuando carga el dashboard, entonces muestra métricas de resumen y listado paginado ordenado por ETA.</t>
        </is>
      </c>
    </row>
    <row r="6" ht="24" customHeight="1">
      <c r="A6" s="22" t="inlineStr">
        <is>
          <t>EP-03</t>
        </is>
      </c>
      <c r="B6" s="16" t="inlineStr">
        <is>
          <t>Apertura y Control del Despacho Aduanero</t>
        </is>
      </c>
      <c r="C6" s="22" t="inlineStr">
        <is>
          <t>HU-03</t>
        </is>
      </c>
      <c r="D6" s="23" t="inlineStr">
        <is>
          <t>Registrar nuevo despacho de importación</t>
        </is>
      </c>
      <c r="E6" s="16" t="inlineStr">
        <is>
          <t>Agente de aduana</t>
        </is>
      </c>
      <c r="F6" s="16" t="inlineStr">
        <is>
          <t>Aperturar formalmente el expediente operativo de importación</t>
        </is>
      </c>
      <c r="G6" s="16" t="inlineStr">
        <is>
          <t>Generar el código correlativo atómico e iniciar el trámite aduanero</t>
        </is>
      </c>
      <c r="H6" s="22" t="n">
        <v>5</v>
      </c>
      <c r="I6" s="24" t="n">
        <v>10</v>
      </c>
      <c r="J6" s="25" t="inlineStr">
        <is>
          <t>Must Have</t>
        </is>
      </c>
      <c r="K6" s="24" t="inlineStr">
        <is>
          <t>Estratégico Core</t>
        </is>
      </c>
      <c r="L6" s="24" t="inlineStr">
        <is>
          <t>HU-04</t>
        </is>
      </c>
      <c r="M6" s="26" t="inlineStr">
        <is>
          <t>Sprint 1</t>
        </is>
      </c>
      <c r="N6" s="16" t="inlineStr">
        <is>
          <t>Dado cliente importador con carta poder vigente, cuando completa datos de régimen y aduana, entonces genera código DESP-2026-XXXX en estado Apertura.</t>
        </is>
      </c>
    </row>
    <row r="7" ht="24" customHeight="1">
      <c r="A7" s="27" t="inlineStr">
        <is>
          <t>EP-02</t>
        </is>
      </c>
      <c r="B7" s="28" t="inlineStr">
        <is>
          <t>Gestión del Directorio de Clientes Importadores</t>
        </is>
      </c>
      <c r="C7" s="27" t="inlineStr">
        <is>
          <t>HU-04</t>
        </is>
      </c>
      <c r="D7" s="29" t="inlineStr">
        <is>
          <t>Registrar datos del cliente importador</t>
        </is>
      </c>
      <c r="E7" s="28" t="inlineStr">
        <is>
          <t>Administrador o agente de aduana</t>
        </is>
      </c>
      <c r="F7" s="28" t="inlineStr">
        <is>
          <t>Registrar y mantener actualizado el padrón de clientes importadores</t>
        </is>
      </c>
      <c r="G7" s="28" t="inlineStr">
        <is>
          <t>Vincular al importador a sus despachos y controlar cartas poder</t>
        </is>
      </c>
      <c r="H7" s="27" t="n">
        <v>5</v>
      </c>
      <c r="I7" s="30" t="n">
        <v>9</v>
      </c>
      <c r="J7" s="25" t="inlineStr">
        <is>
          <t>Must Have</t>
        </is>
      </c>
      <c r="K7" s="30" t="inlineStr">
        <is>
          <t>Estratégico Core</t>
        </is>
      </c>
      <c r="L7" s="30" t="inlineStr">
        <is>
          <t>Ninguna</t>
        </is>
      </c>
      <c r="M7" s="26" t="inlineStr">
        <is>
          <t>Sprint 1</t>
        </is>
      </c>
      <c r="N7" s="28" t="inlineStr">
        <is>
          <t>Dado formulario de cliente, cuando ingresa RUC de 11 dígitos válido (módulo 11), entonces valida duplicados y almacena carta poder PDF.</t>
        </is>
      </c>
    </row>
    <row r="8" ht="24" customHeight="1">
      <c r="A8" s="22" t="inlineStr">
        <is>
          <t>EP-04</t>
        </is>
      </c>
      <c r="B8" s="16" t="inlineStr">
        <is>
          <t>Trazabilidad de Transporte Marítimo y Contenedores</t>
        </is>
      </c>
      <c r="C8" s="22" t="inlineStr">
        <is>
          <t>HU-05</t>
        </is>
      </c>
      <c r="D8" s="23" t="inlineStr">
        <is>
          <t>Registrar información del embarque marítimo (BL)</t>
        </is>
      </c>
      <c r="E8" s="16" t="inlineStr">
        <is>
          <t>Agente de aduana</t>
        </is>
      </c>
      <c r="F8" s="16" t="inlineStr">
        <is>
          <t>Registrar datos del conocimiento de embarque (BL), nave y contenedores</t>
        </is>
      </c>
      <c r="G8" s="16" t="inlineStr">
        <is>
          <t>Controlar la travesía marítima, naviera y fecha límite de almacenaje</t>
        </is>
      </c>
      <c r="H8" s="22" t="n">
        <v>5</v>
      </c>
      <c r="I8" s="24" t="n">
        <v>9</v>
      </c>
      <c r="J8" s="25" t="inlineStr">
        <is>
          <t>Must Have</t>
        </is>
      </c>
      <c r="K8" s="24" t="inlineStr">
        <is>
          <t>Estratégico Core</t>
        </is>
      </c>
      <c r="L8" s="24" t="inlineStr">
        <is>
          <t>HU-03</t>
        </is>
      </c>
      <c r="M8" s="26" t="inlineStr">
        <is>
          <t>Sprint 1</t>
        </is>
      </c>
      <c r="N8" s="16" t="inlineStr">
        <is>
          <t>Dado despacho aperturado, cuando ingresa BL y contenedores según norma ISO 6346, entonces valida que fecha de zarpe sea anterior a ETA.</t>
        </is>
      </c>
    </row>
    <row r="9" ht="24" customHeight="1">
      <c r="A9" s="27" t="inlineStr">
        <is>
          <t>EP-06</t>
        </is>
      </c>
      <c r="B9" s="28" t="inlineStr">
        <is>
          <t>Gestión Documental y Expediente Digital</t>
        </is>
      </c>
      <c r="C9" s="27" t="inlineStr">
        <is>
          <t>HU-06</t>
        </is>
      </c>
      <c r="D9" s="29" t="inlineStr">
        <is>
          <t>Cargar y gestionar documentos del despacho</t>
        </is>
      </c>
      <c r="E9" s="28" t="inlineStr">
        <is>
          <t>Agente de aduana</t>
        </is>
      </c>
      <c r="F9" s="28" t="inlineStr">
        <is>
          <t>Cargar digitalmente la factura comercial, packing list y BL en PDF</t>
        </is>
      </c>
      <c r="G9" s="28" t="inlineStr">
        <is>
          <t>Conformar el expediente aduanero digital antes de la numeración DAM</t>
        </is>
      </c>
      <c r="H9" s="27" t="n">
        <v>8</v>
      </c>
      <c r="I9" s="30" t="n">
        <v>10</v>
      </c>
      <c r="J9" s="25" t="inlineStr">
        <is>
          <t>Must Have</t>
        </is>
      </c>
      <c r="K9" s="30" t="inlineStr">
        <is>
          <t>Estratégico Core</t>
        </is>
      </c>
      <c r="L9" s="30" t="inlineStr">
        <is>
          <t>HU-05</t>
        </is>
      </c>
      <c r="M9" s="27" t="inlineStr">
        <is>
          <t>Sprint 2</t>
        </is>
      </c>
      <c r="N9" s="28" t="inlineStr">
        <is>
          <t>Dado expediente aperturado, cuando sube archivos PDF (&lt;=10 MB), entonces valida integridad y permite aprobar u observar documentos.</t>
        </is>
      </c>
    </row>
    <row r="10" ht="24" customHeight="1">
      <c r="A10" s="22" t="inlineStr">
        <is>
          <t>EP-07</t>
        </is>
      </c>
      <c r="B10" s="16" t="inlineStr">
        <is>
          <t>Clasificación Arancelaria y Liquidación Tributaria</t>
        </is>
      </c>
      <c r="C10" s="22" t="inlineStr">
        <is>
          <t>HU-07</t>
        </is>
      </c>
      <c r="D10" s="23" t="inlineStr">
        <is>
          <t>Registrar clasificación arancelaria de mercancías</t>
        </is>
      </c>
      <c r="E10" s="16" t="inlineStr">
        <is>
          <t>Analista de comercio exterior</t>
        </is>
      </c>
      <c r="F10" s="16" t="inlineStr">
        <is>
          <t>Registrar la subpartida nacional y descripción arancelaria por ítem</t>
        </is>
      </c>
      <c r="G10" s="16" t="inlineStr">
        <is>
          <t>Determinar la base imponible y las alícuotas tributarias aplicables</t>
        </is>
      </c>
      <c r="H10" s="22" t="n">
        <v>8</v>
      </c>
      <c r="I10" s="24" t="n">
        <v>9</v>
      </c>
      <c r="J10" s="25" t="inlineStr">
        <is>
          <t>Must Have</t>
        </is>
      </c>
      <c r="K10" s="24" t="inlineStr">
        <is>
          <t>Estratégico Core</t>
        </is>
      </c>
      <c r="L10" s="24" t="inlineStr">
        <is>
          <t>HU-06</t>
        </is>
      </c>
      <c r="M10" s="22" t="inlineStr">
        <is>
          <t>Sprint 2</t>
        </is>
      </c>
      <c r="N10" s="16" t="inlineStr">
        <is>
          <t>Dado documentos comerciales revisados, cuando digita partida de 10 dígitos, entonces valida arancel aduanero nacional vigente.</t>
        </is>
      </c>
    </row>
    <row r="11" ht="24" customHeight="1">
      <c r="A11" s="27" t="inlineStr">
        <is>
          <t>EP-07</t>
        </is>
      </c>
      <c r="B11" s="28" t="inlineStr">
        <is>
          <t>Clasificación Arancelaria y Liquidación Tributaria</t>
        </is>
      </c>
      <c r="C11" s="27" t="inlineStr">
        <is>
          <t>HU-08</t>
        </is>
      </c>
      <c r="D11" s="29" t="inlineStr">
        <is>
          <t>Calcular tributos y liquidación aduanera</t>
        </is>
      </c>
      <c r="E11" s="28" t="inlineStr">
        <is>
          <t>Agente de aduana</t>
        </is>
      </c>
      <c r="F11" s="28" t="inlineStr">
        <is>
          <t>Calcular referencialmente los tributos aduaneros (Ad-Valorem, IGV, IPM)</t>
        </is>
      </c>
      <c r="G11" s="28" t="inlineStr">
        <is>
          <t>Informar al importador el monto exacto a liquidar ante SUNAT</t>
        </is>
      </c>
      <c r="H11" s="27" t="n">
        <v>8</v>
      </c>
      <c r="I11" s="30" t="n">
        <v>9</v>
      </c>
      <c r="J11" s="25" t="inlineStr">
        <is>
          <t>Must Have</t>
        </is>
      </c>
      <c r="K11" s="30" t="inlineStr">
        <is>
          <t>Estratégico Core</t>
        </is>
      </c>
      <c r="L11" s="30" t="inlineStr">
        <is>
          <t>HU-07</t>
        </is>
      </c>
      <c r="M11" s="27" t="inlineStr">
        <is>
          <t>Sprint 2</t>
        </is>
      </c>
      <c r="N11" s="28" t="inlineStr">
        <is>
          <t>Dado ítems clasificados y valor CIF, cuando ejecuta la liquidación, entonces calcula tributos desglosados en USD y moneda nacional.</t>
        </is>
      </c>
    </row>
    <row r="12" ht="24" customHeight="1">
      <c r="A12" s="22" t="inlineStr">
        <is>
          <t>EP-08</t>
        </is>
      </c>
      <c r="B12" s="16" t="inlineStr">
        <is>
          <t>Destinación Aduanera y Asignación de Canal SUNAT</t>
        </is>
      </c>
      <c r="C12" s="22" t="inlineStr">
        <is>
          <t>HU-09</t>
        </is>
      </c>
      <c r="D12" s="23" t="inlineStr">
        <is>
          <t>Registrar manualmente la numeración de la DAM</t>
        </is>
      </c>
      <c r="E12" s="16" t="inlineStr">
        <is>
          <t>Agente de aduana</t>
        </is>
      </c>
      <c r="F12" s="16" t="inlineStr">
        <is>
          <t>Registrar el número oficial de DAM generado en SUNAT con Clave SOL</t>
        </is>
      </c>
      <c r="G12" s="16" t="inlineStr">
        <is>
          <t>Dejar constancia formal de la oficialización del despacho</t>
        </is>
      </c>
      <c r="H12" s="22" t="n">
        <v>5</v>
      </c>
      <c r="I12" s="24" t="n">
        <v>10</v>
      </c>
      <c r="J12" s="25" t="inlineStr">
        <is>
          <t>Must Have</t>
        </is>
      </c>
      <c r="K12" s="24" t="inlineStr">
        <is>
          <t>Estratégico Core</t>
        </is>
      </c>
      <c r="L12" s="24" t="inlineStr">
        <is>
          <t>HU-08</t>
        </is>
      </c>
      <c r="M12" s="22" t="inlineStr">
        <is>
          <t>Sprint 2</t>
        </is>
      </c>
      <c r="N12" s="16" t="inlineStr">
        <is>
          <t>Dado tributos cancelados, cuando ingresa número de DAM oficial (118-2026-10-XXXXXX), entonces estado transiciona a 'Numerado'.</t>
        </is>
      </c>
    </row>
    <row r="13" ht="24" customHeight="1">
      <c r="A13" s="27" t="inlineStr">
        <is>
          <t>EP-08</t>
        </is>
      </c>
      <c r="B13" s="28" t="inlineStr">
        <is>
          <t>Destinación Aduanera y Asignación de Canal SUNAT</t>
        </is>
      </c>
      <c r="C13" s="27" t="inlineStr">
        <is>
          <t>HU-10</t>
        </is>
      </c>
      <c r="D13" s="29" t="inlineStr">
        <is>
          <t>Registrar y dar seguimiento al canal de control asignado</t>
        </is>
      </c>
      <c r="E13" s="28" t="inlineStr">
        <is>
          <t>Agente de aduana</t>
        </is>
      </c>
      <c r="F13" s="28" t="inlineStr">
        <is>
          <t>Registrar el canal de control informado por SUNAT (Verde, Naranja, Rojo)</t>
        </is>
      </c>
      <c r="G13" s="28" t="inlineStr">
        <is>
          <t>Activar la línea de tiempo y planificar citas según canal</t>
        </is>
      </c>
      <c r="H13" s="27" t="n">
        <v>5</v>
      </c>
      <c r="I13" s="30" t="n">
        <v>8</v>
      </c>
      <c r="J13" s="31" t="inlineStr">
        <is>
          <t>Should Have</t>
        </is>
      </c>
      <c r="K13" s="30" t="inlineStr">
        <is>
          <t>Estratégico Core</t>
        </is>
      </c>
      <c r="L13" s="30" t="inlineStr">
        <is>
          <t>HU-09</t>
        </is>
      </c>
      <c r="M13" s="27" t="inlineStr">
        <is>
          <t>Sprint 2</t>
        </is>
      </c>
      <c r="N13" s="28" t="inlineStr">
        <is>
          <t>Dado despacho numerado, cuando selecciona canal asignado por SUNAT, entonces actualiza hitos y calcula plazos de almacenaje en depósito.</t>
        </is>
      </c>
    </row>
    <row r="14" ht="24" customHeight="1">
      <c r="A14" s="22" t="inlineStr">
        <is>
          <t>EP-09</t>
        </is>
      </c>
      <c r="B14" s="16" t="inlineStr">
        <is>
          <t>Diligencias Portuarias, Inspección y Levante</t>
        </is>
      </c>
      <c r="C14" s="22" t="inlineStr">
        <is>
          <t>HU-11</t>
        </is>
      </c>
      <c r="D14" s="23" t="inlineStr">
        <is>
          <t>Registrar citas en depósito temporal o almacén</t>
        </is>
      </c>
      <c r="E14" s="16" t="inlineStr">
        <is>
          <t>Agente de aduana</t>
        </is>
      </c>
      <c r="F14" s="16" t="inlineStr">
        <is>
          <t>Registrar la cita confirmada en la plataforma del depósito temporal</t>
        </is>
      </c>
      <c r="G14" s="16" t="inlineStr">
        <is>
          <t>Coordinar fecha y turno para inspección física o retiro de carga</t>
        </is>
      </c>
      <c r="H14" s="22" t="n">
        <v>5</v>
      </c>
      <c r="I14" s="24" t="n">
        <v>8</v>
      </c>
      <c r="J14" s="25" t="inlineStr">
        <is>
          <t>Must Have</t>
        </is>
      </c>
      <c r="K14" s="24" t="inlineStr">
        <is>
          <t>Estratégico Core</t>
        </is>
      </c>
      <c r="L14" s="24" t="inlineStr">
        <is>
          <t>HU-10</t>
        </is>
      </c>
      <c r="M14" s="22" t="inlineStr">
        <is>
          <t>Sprint 3</t>
        </is>
      </c>
      <c r="N14" s="16" t="inlineStr">
        <is>
          <t>Dado canal naranja o rojo, cuando ingresa depósito y ticket de cita, entonces fija fecha de inspección y genera alerta de custodia.</t>
        </is>
      </c>
    </row>
    <row r="15" ht="24" customHeight="1">
      <c r="A15" s="27" t="inlineStr">
        <is>
          <t>EP-09</t>
        </is>
      </c>
      <c r="B15" s="28" t="inlineStr">
        <is>
          <t>Diligencias Portuarias, Inspección y Levante</t>
        </is>
      </c>
      <c r="C15" s="27" t="inlineStr">
        <is>
          <t>HU-12</t>
        </is>
      </c>
      <c r="D15" s="29" t="inlineStr">
        <is>
          <t>Registrar resultado de la inspección aduanera</t>
        </is>
      </c>
      <c r="E15" s="28" t="inlineStr">
        <is>
          <t>Agente de aduana</t>
        </is>
      </c>
      <c r="F15" s="28" t="inlineStr">
        <is>
          <t>Registrar resultado de inspección física/documentaria con checklist</t>
        </is>
      </c>
      <c r="G15" s="28" t="inlineStr">
        <is>
          <t>Dejar constancia de diligencia conforme o registrar observaciones</t>
        </is>
      </c>
      <c r="H15" s="27" t="n">
        <v>5</v>
      </c>
      <c r="I15" s="30" t="n">
        <v>8</v>
      </c>
      <c r="J15" s="25" t="inlineStr">
        <is>
          <t>Must Have</t>
        </is>
      </c>
      <c r="K15" s="30" t="inlineStr">
        <is>
          <t>Estratégico Core</t>
        </is>
      </c>
      <c r="L15" s="30" t="inlineStr">
        <is>
          <t>HU-11</t>
        </is>
      </c>
      <c r="M15" s="27" t="inlineStr">
        <is>
          <t>Sprint 3</t>
        </is>
      </c>
      <c r="N15" s="28" t="inlineStr">
        <is>
          <t>Dado cita realizada, cuando completa checklist de inspección, entonces guarda estado Conforme u Observado con sustento.</t>
        </is>
      </c>
    </row>
    <row r="16" ht="24" customHeight="1">
      <c r="A16" s="22" t="inlineStr">
        <is>
          <t>EP-09</t>
        </is>
      </c>
      <c r="B16" s="16" t="inlineStr">
        <is>
          <t>Diligencias Portuarias, Inspección y Levante</t>
        </is>
      </c>
      <c r="C16" s="22" t="inlineStr">
        <is>
          <t>HU-13</t>
        </is>
      </c>
      <c r="D16" s="23" t="inlineStr">
        <is>
          <t>Registrar manualmente el levante de mercancía</t>
        </is>
      </c>
      <c r="E16" s="16" t="inlineStr">
        <is>
          <t>Agente de aduana</t>
        </is>
      </c>
      <c r="F16" s="16" t="inlineStr">
        <is>
          <t>Registrar el levante otorgado por SUNAT y adjuntar constancia PDF</t>
        </is>
      </c>
      <c r="G16" s="16" t="inlineStr">
        <is>
          <t>Habilitar la coordinación de retiro de mercancía del almacén</t>
        </is>
      </c>
      <c r="H16" s="22" t="n">
        <v>5</v>
      </c>
      <c r="I16" s="24" t="n">
        <v>10</v>
      </c>
      <c r="J16" s="25" t="inlineStr">
        <is>
          <t>Must Have</t>
        </is>
      </c>
      <c r="K16" s="24" t="inlineStr">
        <is>
          <t>Estratégico Core</t>
        </is>
      </c>
      <c r="L16" s="24" t="inlineStr">
        <is>
          <t>HU-12</t>
        </is>
      </c>
      <c r="M16" s="22" t="inlineStr">
        <is>
          <t>Sprint 3</t>
        </is>
      </c>
      <c r="N16" s="16" t="inlineStr">
        <is>
          <t>Dado inspección conforme, cuando ingresa autorización SUNAT y sube PDF, entonces estado pasa a 'Levante Otorgado'.</t>
        </is>
      </c>
    </row>
    <row r="17" ht="24" customHeight="1">
      <c r="A17" s="27" t="inlineStr">
        <is>
          <t>EP-10</t>
        </is>
      </c>
      <c r="B17" s="28" t="inlineStr">
        <is>
          <t>Notificaciones Automáticas y Analítica Gerencial</t>
        </is>
      </c>
      <c r="C17" s="27" t="inlineStr">
        <is>
          <t>HU-14</t>
        </is>
      </c>
      <c r="D17" s="29" t="inlineStr">
        <is>
          <t>Gestionar notificaciones y alertas de estado del despacho</t>
        </is>
      </c>
      <c r="E17" s="28" t="inlineStr">
        <is>
          <t>Agente de aduana y cliente importador</t>
        </is>
      </c>
      <c r="F17" s="28" t="inlineStr">
        <is>
          <t>Recibir alertas sobre vencimiento de almacenaje o cambio de canal</t>
        </is>
      </c>
      <c r="G17" s="28" t="inlineStr">
        <is>
          <t>Actuar oportunamente para evitar sobrecostos portuarios y demoras</t>
        </is>
      </c>
      <c r="H17" s="27" t="n">
        <v>5</v>
      </c>
      <c r="I17" s="30" t="n">
        <v>7</v>
      </c>
      <c r="J17" s="31" t="inlineStr">
        <is>
          <t>Should Have</t>
        </is>
      </c>
      <c r="K17" s="30" t="inlineStr">
        <is>
          <t>Secundaria</t>
        </is>
      </c>
      <c r="L17" s="30" t="inlineStr">
        <is>
          <t>Ninguna</t>
        </is>
      </c>
      <c r="M17" s="27" t="inlineStr">
        <is>
          <t>Sprint 3</t>
        </is>
      </c>
      <c r="N17" s="28" t="inlineStr">
        <is>
          <t>Dado despacho en tránsito o depósito, cuando faltan 3 días para vencimiento de almacenaje, entonces emite notificación crítica.</t>
        </is>
      </c>
    </row>
    <row r="18" ht="24" customHeight="1">
      <c r="A18" s="22" t="inlineStr">
        <is>
          <t>EP-10</t>
        </is>
      </c>
      <c r="B18" s="16" t="inlineStr">
        <is>
          <t>Notificaciones Automáticas y Analítica Gerencial</t>
        </is>
      </c>
      <c r="C18" s="22" t="inlineStr">
        <is>
          <t>HU-15</t>
        </is>
      </c>
      <c r="D18" s="23" t="inlineStr">
        <is>
          <t>Generar reportes e indicadores de gestión aduanera</t>
        </is>
      </c>
      <c r="E18" s="16" t="inlineStr">
        <is>
          <t>Jefe de operaciones o administrador</t>
        </is>
      </c>
      <c r="F18" s="16" t="inlineStr">
        <is>
          <t>Visualizar indicadores de gestión (tiempo promedio, canales, despachos)</t>
        </is>
      </c>
      <c r="G18" s="16" t="inlineStr">
        <is>
          <t>Tomar decisiones basadas en datos para optimizar tiempos del despacho</t>
        </is>
      </c>
      <c r="H18" s="22" t="n">
        <v>8</v>
      </c>
      <c r="I18" s="24" t="n">
        <v>6</v>
      </c>
      <c r="J18" s="32" t="inlineStr">
        <is>
          <t>Could Have</t>
        </is>
      </c>
      <c r="K18" s="24" t="inlineStr">
        <is>
          <t>Postergable</t>
        </is>
      </c>
      <c r="L18" s="24" t="inlineStr">
        <is>
          <t>HU-02, HU-10</t>
        </is>
      </c>
      <c r="M18" s="22" t="inlineStr">
        <is>
          <t>Sprint 3</t>
        </is>
      </c>
      <c r="N18" s="16" t="inlineStr">
        <is>
          <t>Dado rango de fechas seleccionado, cuando aplica filtros, entonces genera KPIs consolidados y exporta informe ejecutivo a Excel y PDF.</t>
        </is>
      </c>
    </row>
    <row r="19">
      <c r="A19" s="33" t="inlineStr">
        <is>
          <t>TOTAL PRODUCT BACKLOG (15 HISTORIAS DE USUARIO)</t>
        </is>
      </c>
      <c r="B19" s="6" t="n"/>
      <c r="C19" s="6" t="n"/>
      <c r="D19" s="6" t="n"/>
      <c r="E19" s="6" t="n"/>
      <c r="F19" s="6" t="n"/>
      <c r="G19" s="6" t="n"/>
      <c r="H19" s="9">
        <f>SUM(H4:H18)</f>
        <v/>
      </c>
      <c r="I19" s="34">
        <f>AVERAGE(I4:I18)</f>
        <v/>
      </c>
      <c r="J19" s="35" t="inlineStr">
        <is>
          <t>Sprint 1: 23 SP (5 HUs) | Sprint 2: 34 SP (5 HUs) | Sprint 3: 28 SP (5 HUs)</t>
        </is>
      </c>
      <c r="K19" s="6" t="n"/>
      <c r="L19" s="6" t="n"/>
      <c r="M19" s="6" t="n"/>
      <c r="N19" s="6" t="n"/>
    </row>
  </sheetData>
  <mergeCells count="3">
    <mergeCell ref="A19:G19"/>
    <mergeCell ref="J19:N19"/>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1" workbookViewId="0">
      <selection activeCell="A1" sqref="A1"/>
    </sheetView>
  </sheetViews>
  <sheetFormatPr baseColWidth="8" defaultRowHeight="15" outlineLevelCol="0"/>
  <cols>
    <col width="32" customWidth="1" min="1" max="1"/>
    <col width="28" customWidth="1" min="2" max="2"/>
    <col width="15" customWidth="1" min="3" max="3"/>
    <col width="15" customWidth="1" min="4" max="4"/>
    <col width="15" customWidth="1" min="5" max="5"/>
    <col width="15" customWidth="1" min="6" max="6"/>
    <col width="24" customWidth="1" min="7" max="7"/>
    <col width="26" customWidth="1" min="8" max="8"/>
    <col width="22" customWidth="1" min="9" max="9"/>
  </cols>
  <sheetData>
    <row r="1" ht="28" customHeight="1">
      <c r="A1" s="3" t="inlineStr">
        <is>
          <t>CÁLCULO DE CAPACIDAD Y VELOCIDAD DEL SCRUM TEAM — SPRINT 1 (SEMANAS 7 A 9)</t>
        </is>
      </c>
    </row>
    <row r="3" ht="26" customHeight="1">
      <c r="A3" s="21" t="inlineStr">
        <is>
          <t>Integrante</t>
        </is>
      </c>
      <c r="B3" s="21" t="inlineStr">
        <is>
          <t>Rol Scrum</t>
        </is>
      </c>
      <c r="C3" s="21" t="inlineStr">
        <is>
          <t>Semanas Sprint</t>
        </is>
      </c>
      <c r="D3" s="21" t="inlineStr">
        <is>
          <t>Días Hábiles</t>
        </is>
      </c>
      <c r="E3" s="21" t="inlineStr">
        <is>
          <t>Horas/Semana</t>
        </is>
      </c>
      <c r="F3" s="21" t="inlineStr">
        <is>
          <t>Horas Brutas</t>
        </is>
      </c>
      <c r="G3" s="21" t="inlineStr">
        <is>
          <t>Ceremonias Scrum (h)</t>
        </is>
      </c>
      <c r="H3" s="21" t="inlineStr">
        <is>
          <t>Buffer Imprevistos (10%)</t>
        </is>
      </c>
      <c r="I3" s="21" t="inlineStr">
        <is>
          <t>Capacidad Neta (Dev)</t>
        </is>
      </c>
    </row>
    <row r="4" ht="22" customHeight="1">
      <c r="A4" s="29" t="inlineStr">
        <is>
          <t>Linares Estivariz, Kiara Leticia</t>
        </is>
      </c>
      <c r="B4" s="29" t="inlineStr">
        <is>
          <t>Developer / Frontend</t>
        </is>
      </c>
      <c r="C4" s="30" t="n">
        <v>3</v>
      </c>
      <c r="D4" s="30" t="n">
        <v>15</v>
      </c>
      <c r="E4" s="30" t="n">
        <v>14</v>
      </c>
      <c r="F4" s="36">
        <f>C4*E4</f>
        <v/>
      </c>
      <c r="G4" s="37" t="n">
        <v>4</v>
      </c>
      <c r="H4" s="38" t="n">
        <v>0.1</v>
      </c>
      <c r="I4" s="36">
        <f>F4-G4-(F4*H4)</f>
        <v/>
      </c>
    </row>
    <row r="5" ht="22" customHeight="1">
      <c r="A5" s="29" t="inlineStr">
        <is>
          <t>Ponce Simeón, Patrick Vossler</t>
        </is>
      </c>
      <c r="B5" s="29" t="inlineStr">
        <is>
          <t>Developer / Backend</t>
        </is>
      </c>
      <c r="C5" s="30" t="n">
        <v>3</v>
      </c>
      <c r="D5" s="30" t="n">
        <v>15</v>
      </c>
      <c r="E5" s="30" t="n">
        <v>14</v>
      </c>
      <c r="F5" s="36">
        <f>C5*E5</f>
        <v/>
      </c>
      <c r="G5" s="37" t="n">
        <v>4</v>
      </c>
      <c r="H5" s="38" t="n">
        <v>0.1</v>
      </c>
      <c r="I5" s="36">
        <f>F5-G5-(F5*H5)</f>
        <v/>
      </c>
    </row>
    <row r="6" ht="22" customHeight="1">
      <c r="A6" s="29" t="inlineStr">
        <is>
          <t>Saavedra García, Fabio Enrique</t>
        </is>
      </c>
      <c r="B6" s="29" t="inlineStr">
        <is>
          <t>Developer / Backend-DevOps</t>
        </is>
      </c>
      <c r="C6" s="30" t="n">
        <v>3</v>
      </c>
      <c r="D6" s="30" t="n">
        <v>15</v>
      </c>
      <c r="E6" s="30" t="n">
        <v>14</v>
      </c>
      <c r="F6" s="36">
        <f>C6*E6</f>
        <v/>
      </c>
      <c r="G6" s="37" t="n">
        <v>4</v>
      </c>
      <c r="H6" s="38" t="n">
        <v>0.1</v>
      </c>
      <c r="I6" s="36">
        <f>F6-G6-(F6*H6)</f>
        <v/>
      </c>
    </row>
    <row r="7" ht="24" customHeight="1">
      <c r="A7" s="39" t="inlineStr">
        <is>
          <t>TOTAL CAPACIDAD SCRUM TEAM (3 DEVELOPERS ACTIVOS)</t>
        </is>
      </c>
      <c r="B7" s="6" t="n"/>
      <c r="C7" s="35" t="n">
        <v>3</v>
      </c>
      <c r="D7" s="35" t="n">
        <v>15</v>
      </c>
      <c r="E7" s="35">
        <f>SUM(E4:E6)</f>
        <v/>
      </c>
      <c r="F7" s="9">
        <f>SUM(F4:F6)</f>
        <v/>
      </c>
      <c r="G7" s="35">
        <f>SUM(G4:G6)</f>
        <v/>
      </c>
      <c r="H7" s="40">
        <f>AVERAGE(H4:H6)</f>
        <v/>
      </c>
      <c r="I7" s="41">
        <f>SUM(I4:I6)</f>
        <v/>
      </c>
    </row>
    <row r="10">
      <c r="B10" s="42" t="inlineStr">
        <is>
          <t>BALANCE DE CARGA vs. CAPACIDAD DEL SPRINT 1</t>
        </is>
      </c>
    </row>
    <row r="11">
      <c r="B11" s="15" t="inlineStr">
        <is>
          <t>Capacidad Neta Disponible del Equipo (Horas)</t>
        </is>
      </c>
      <c r="C11" s="17" t="n"/>
      <c r="D11" s="17" t="n"/>
      <c r="E11" s="17" t="n"/>
      <c r="F11" s="43">
        <f>I7</f>
        <v/>
      </c>
      <c r="G11" s="44" t="inlineStr">
        <is>
          <t>Horas efectivas dedicadas al código</t>
        </is>
      </c>
      <c r="H11" s="17" t="n"/>
    </row>
    <row r="12">
      <c r="B12" s="15" t="inlineStr">
        <is>
          <t>Horas Totales de Tareas Estimadas (Sprint Backlog)</t>
        </is>
      </c>
      <c r="C12" s="17" t="n"/>
      <c r="D12" s="17" t="n"/>
      <c r="E12" s="17" t="n"/>
      <c r="F12" s="43">
        <f>'Sprint Backlog'!F35</f>
        <v/>
      </c>
      <c r="G12" s="44" t="inlineStr">
        <is>
          <t>Suma de las 31 tareas técnicas SMART planificadas</t>
        </is>
      </c>
      <c r="H12" s="17" t="n"/>
    </row>
    <row r="13">
      <c r="B13" s="15" t="inlineStr">
        <is>
          <t>Diferencia / Balance Horario</t>
        </is>
      </c>
      <c r="C13" s="17" t="n"/>
      <c r="D13" s="17" t="n"/>
      <c r="E13" s="17" t="n"/>
      <c r="F13" s="43">
        <f>F11-F12</f>
        <v/>
      </c>
      <c r="G13" s="44" t="inlineStr">
        <is>
          <t>Margen de holgura operativa (+/-)</t>
        </is>
      </c>
      <c r="H13" s="17" t="n"/>
    </row>
    <row r="14">
      <c r="B14" s="15" t="inlineStr">
        <is>
          <t>Factor de Ocupación / Compromiso</t>
        </is>
      </c>
      <c r="C14" s="17" t="n"/>
      <c r="D14" s="17" t="n"/>
      <c r="E14" s="17" t="n"/>
      <c r="F14" s="45">
        <f>F12/F11</f>
        <v/>
      </c>
      <c r="G14" s="44" t="inlineStr">
        <is>
          <t>Relación Horas Estimadas / Capacidad Neta (107.5%)</t>
        </is>
      </c>
      <c r="H14" s="17" t="n"/>
    </row>
    <row r="15">
      <c r="B15" s="15" t="inlineStr">
        <is>
          <t>Puntos de Historia Comprometidos</t>
        </is>
      </c>
      <c r="C15" s="17" t="n"/>
      <c r="D15" s="17" t="n"/>
      <c r="E15" s="17" t="n"/>
      <c r="F15" s="43">
        <f>23</f>
        <v/>
      </c>
      <c r="G15" s="44" t="inlineStr">
        <is>
          <t>23 Story Points para Sprint 1 (5 historias)</t>
        </is>
      </c>
      <c r="H15" s="17" t="n"/>
    </row>
    <row r="16">
      <c r="B16" s="15" t="inlineStr">
        <is>
          <t>Velocidad Proyectada por Semana</t>
        </is>
      </c>
      <c r="C16" s="17" t="n"/>
      <c r="D16" s="17" t="n"/>
      <c r="E16" s="17" t="n"/>
      <c r="F16" s="43">
        <f>F15/3</f>
        <v/>
      </c>
      <c r="G16" s="44" t="inlineStr">
        <is>
          <t>Story Points promedio por semana (~7.7 SP/sem)</t>
        </is>
      </c>
      <c r="H16" s="17" t="n"/>
    </row>
  </sheetData>
  <mergeCells count="15">
    <mergeCell ref="G12:H12"/>
    <mergeCell ref="A7:B7"/>
    <mergeCell ref="G16:H16"/>
    <mergeCell ref="B12:E12"/>
    <mergeCell ref="B13:E13"/>
    <mergeCell ref="G15:H15"/>
    <mergeCell ref="G11:H11"/>
    <mergeCell ref="B16:E16"/>
    <mergeCell ref="A1:I1"/>
    <mergeCell ref="B15:E15"/>
    <mergeCell ref="B11:E11"/>
    <mergeCell ref="G14:H14"/>
    <mergeCell ref="B10:H10"/>
    <mergeCell ref="G13:H13"/>
    <mergeCell ref="B14:E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showGridLines="1" workbookViewId="0">
      <selection activeCell="A1" sqref="A1"/>
    </sheetView>
  </sheetViews>
  <sheetFormatPr baseColWidth="8" defaultRowHeight="15" outlineLevelCol="0"/>
  <cols>
    <col width="10" customWidth="1" min="1" max="1"/>
    <col width="28" customWidth="1" min="2" max="2"/>
    <col width="10" customWidth="1" min="3" max="3"/>
    <col width="16" customWidth="1" min="4" max="4"/>
    <col width="65" customWidth="1" min="5" max="5"/>
    <col width="12" customWidth="1" min="6" max="6"/>
    <col width="12" customWidth="1" min="7" max="7"/>
    <col width="12" customWidth="1" min="8" max="8"/>
    <col width="24" customWidth="1" min="9" max="9"/>
    <col width="16" customWidth="1" min="10" max="10"/>
    <col width="14" customWidth="1" min="11" max="11"/>
  </cols>
  <sheetData>
    <row r="1" ht="28" customHeight="1">
      <c r="A1" s="3" t="inlineStr">
        <is>
          <t>SPRINT BACKLOG TÉCNICO — SPRINT 1 (31 TAREAS TÉCNICAS SMART · 109 HORAS · 23 SP)</t>
        </is>
      </c>
    </row>
    <row r="3" ht="26" customHeight="1">
      <c r="A3" s="21" t="inlineStr">
        <is>
          <t>ID Tarea</t>
        </is>
      </c>
      <c r="B3" s="21" t="inlineStr">
        <is>
          <t>Épica Asociada</t>
        </is>
      </c>
      <c r="C3" s="21" t="inlineStr">
        <is>
          <t>HU Asociada</t>
        </is>
      </c>
      <c r="D3" s="21" t="inlineStr">
        <is>
          <t>Capa / Componente</t>
        </is>
      </c>
      <c r="E3" s="21" t="inlineStr">
        <is>
          <t>Descripción Técnica Detallada de la Tarea (Estándar SMART)</t>
        </is>
      </c>
      <c r="F3" s="21" t="inlineStr">
        <is>
          <t>Horas Est.</t>
        </is>
      </c>
      <c r="G3" s="21" t="inlineStr">
        <is>
          <t>Horas Real</t>
        </is>
      </c>
      <c r="H3" s="21" t="inlineStr">
        <is>
          <t>Horas Rest.</t>
        </is>
      </c>
      <c r="I3" s="21" t="inlineStr">
        <is>
          <t>Responsable Asignado</t>
        </is>
      </c>
      <c r="J3" s="21" t="inlineStr">
        <is>
          <t>Estado Kanban</t>
        </is>
      </c>
      <c r="K3" s="21" t="inlineStr">
        <is>
          <t>DoD Validado</t>
        </is>
      </c>
    </row>
    <row r="4" ht="28" customHeight="1">
      <c r="A4" s="22" t="inlineStr">
        <is>
          <t>T-00.1</t>
        </is>
      </c>
      <c r="B4" s="16" t="inlineStr">
        <is>
          <t>EP-00: Infraestructura y DevOps</t>
        </is>
      </c>
      <c r="C4" s="22" t="inlineStr">
        <is>
          <t>SETUP</t>
        </is>
      </c>
      <c r="D4" s="24" t="inlineStr">
        <is>
          <t>DevOps</t>
        </is>
      </c>
      <c r="E4" s="16" t="inlineStr">
        <is>
          <t>Inicialización de repositorio GitHub bajo GitFlow, reglas de branch protection en 'main' y 'develop' (requiere PR con 1 code review y status checks aprobados), configuración de .gitignore, hooks pre-commit con Husky y lint-staged para formateo automático. Invitación al docente (jhuapalla@usmp.pe).</t>
        </is>
      </c>
      <c r="F4" s="43" t="n">
        <v>2</v>
      </c>
      <c r="G4" s="46" t="n">
        <v>0</v>
      </c>
      <c r="H4" s="46" t="n">
        <v>2</v>
      </c>
      <c r="I4" s="24" t="inlineStr">
        <is>
          <t>Fabio Saavedra</t>
        </is>
      </c>
      <c r="J4" s="47" t="inlineStr">
        <is>
          <t>Por Hacer</t>
        </is>
      </c>
      <c r="K4" s="24" t="inlineStr">
        <is>
          <t>No</t>
        </is>
      </c>
    </row>
    <row r="5" ht="28" customHeight="1">
      <c r="A5" s="27" t="inlineStr">
        <is>
          <t>T-00.2</t>
        </is>
      </c>
      <c r="B5" s="28" t="inlineStr">
        <is>
          <t>EP-00: Infraestructura y DevOps</t>
        </is>
      </c>
      <c r="C5" s="27" t="inlineStr">
        <is>
          <t>SETUP</t>
        </is>
      </c>
      <c r="D5" s="30" t="inlineStr">
        <is>
          <t>CASE</t>
        </is>
      </c>
      <c r="E5" s="28" t="inlineStr">
        <is>
          <t>Parametrización del tablero Jira/Trello para PROY-ADU-2026-01: configuración del workflow con 7 estados aduaneros (Product Backlog, To Do, In Development, Peer Review, QA Testing, SAST Security Scan, Done), políticas de transición, límites WIP (máx 2 tareas en progreso por dev) e invitación al docente (jhuapallag@usmp.pe).</t>
        </is>
      </c>
      <c r="F5" s="36" t="n">
        <v>1</v>
      </c>
      <c r="G5" s="37" t="n">
        <v>0</v>
      </c>
      <c r="H5" s="37" t="n">
        <v>1</v>
      </c>
      <c r="I5" s="30" t="inlineStr">
        <is>
          <t>Alvaro Tipian (SM)</t>
        </is>
      </c>
      <c r="J5" s="47" t="inlineStr">
        <is>
          <t>Por Hacer</t>
        </is>
      </c>
      <c r="K5" s="30" t="inlineStr">
        <is>
          <t>No</t>
        </is>
      </c>
    </row>
    <row r="6" ht="28" customHeight="1">
      <c r="A6" s="22" t="inlineStr">
        <is>
          <t>T-00.3</t>
        </is>
      </c>
      <c r="B6" s="16" t="inlineStr">
        <is>
          <t>EP-00: Infraestructura y DevOps</t>
        </is>
      </c>
      <c r="C6" s="22" t="inlineStr">
        <is>
          <t>SETUP</t>
        </is>
      </c>
      <c r="D6" s="24" t="inlineStr">
        <is>
          <t>DevOps</t>
        </is>
      </c>
      <c r="E6" s="16" t="inlineStr">
        <is>
          <t>Construcción de arquitectura contenerizada con docker-compose.yml multi-servicio: contenedor de API backend (Node.js/Express o Spring Boot con Dockerfile multi-stage), contenedor PostgreSQL 15 Alpine con variables de entorno parametrizadas (.env.example), volúmenes nombrados persistentes (pgdata), healthchecks y red bridge aislada.</t>
        </is>
      </c>
      <c r="F6" s="43" t="n">
        <v>4</v>
      </c>
      <c r="G6" s="46" t="n">
        <v>0</v>
      </c>
      <c r="H6" s="46" t="n">
        <v>4</v>
      </c>
      <c r="I6" s="24" t="inlineStr">
        <is>
          <t>Patrick Ponce</t>
        </is>
      </c>
      <c r="J6" s="47" t="inlineStr">
        <is>
          <t>Por Hacer</t>
        </is>
      </c>
      <c r="K6" s="24" t="inlineStr">
        <is>
          <t>No</t>
        </is>
      </c>
    </row>
    <row r="7" ht="28" customHeight="1">
      <c r="A7" s="27" t="inlineStr">
        <is>
          <t>T-00.4</t>
        </is>
      </c>
      <c r="B7" s="28" t="inlineStr">
        <is>
          <t>EP-00: Infraestructura y DevOps</t>
        </is>
      </c>
      <c r="C7" s="27" t="inlineStr">
        <is>
          <t>SETUP</t>
        </is>
      </c>
      <c r="D7" s="30" t="inlineStr">
        <is>
          <t>Base de Datos</t>
        </is>
      </c>
      <c r="E7" s="28" t="inlineStr">
        <is>
          <t>Diseño e implementación de scripts DDL en PostgreSQL con migraciones versionadas: creación de esquemas, tipos ENUM aduaneros, tablas principales con claves foráneas en cascada controlada, índices B-Tree en campos clave (ruc, num_despacho, num_bl), constraints de unicidad y triggers de auditoría para created_at y updated_at.</t>
        </is>
      </c>
      <c r="F7" s="36" t="n">
        <v>5</v>
      </c>
      <c r="G7" s="37" t="n">
        <v>0</v>
      </c>
      <c r="H7" s="37" t="n">
        <v>5</v>
      </c>
      <c r="I7" s="30" t="inlineStr">
        <is>
          <t>Fabio Saavedra</t>
        </is>
      </c>
      <c r="J7" s="47" t="inlineStr">
        <is>
          <t>Por Hacer</t>
        </is>
      </c>
      <c r="K7" s="30" t="inlineStr">
        <is>
          <t>No</t>
        </is>
      </c>
    </row>
    <row r="8" ht="28" customHeight="1">
      <c r="A8" s="22" t="inlineStr">
        <is>
          <t>T-00.5</t>
        </is>
      </c>
      <c r="B8" s="16" t="inlineStr">
        <is>
          <t>EP-00: Infraestructura y DevOps</t>
        </is>
      </c>
      <c r="C8" s="22" t="inlineStr">
        <is>
          <t>SETUP</t>
        </is>
      </c>
      <c r="D8" s="24" t="inlineStr">
        <is>
          <t>DevOps</t>
        </is>
      </c>
      <c r="E8" s="16" t="inlineStr">
        <is>
          <t>Construcción de pipeline CI en GitHub Actions (.github/workflows/ci.yml): jobs automatizados en branches 'develop' y 'feature/*' para checkout de código, setup de runtime, instalación limpia (npm ci), ejecución de linter estático (ESLint), y ejecución de suite de pruebas unitarias automatizadas con reporte de cobertura.</t>
        </is>
      </c>
      <c r="F8" s="43" t="n">
        <v>3</v>
      </c>
      <c r="G8" s="46" t="n">
        <v>0</v>
      </c>
      <c r="H8" s="46" t="n">
        <v>3</v>
      </c>
      <c r="I8" s="24" t="inlineStr">
        <is>
          <t>Patrick Ponce</t>
        </is>
      </c>
      <c r="J8" s="47" t="inlineStr">
        <is>
          <t>Por Hacer</t>
        </is>
      </c>
      <c r="K8" s="24" t="inlineStr">
        <is>
          <t>No</t>
        </is>
      </c>
    </row>
    <row r="9" ht="28" customHeight="1">
      <c r="A9" s="27" t="inlineStr">
        <is>
          <t>T-00.6</t>
        </is>
      </c>
      <c r="B9" s="28" t="inlineStr">
        <is>
          <t>EP-00: Infraestructura y DevOps</t>
        </is>
      </c>
      <c r="C9" s="27" t="inlineStr">
        <is>
          <t>SETUP</t>
        </is>
      </c>
      <c r="D9" s="30" t="inlineStr">
        <is>
          <t>Seguridad / QA</t>
        </is>
      </c>
      <c r="E9" s="28" t="inlineStr">
        <is>
          <t>Configuración de pipeline de seguridad estática (SAST) y análisis de dependencias de terceros mediante SonarQube Cloud / Snyk CLI: parametrización de Quality Gate con política de tolerancia cero para vulnerabilidades de severidad 'Blocker' y 'Critical', y generación del reporte de hallazgos y remediaciones para cierre del sprint.</t>
        </is>
      </c>
      <c r="F9" s="36" t="n">
        <v>2</v>
      </c>
      <c r="G9" s="37" t="n">
        <v>0</v>
      </c>
      <c r="H9" s="37" t="n">
        <v>2</v>
      </c>
      <c r="I9" s="30" t="inlineStr">
        <is>
          <t>Fabio Saavedra</t>
        </is>
      </c>
      <c r="J9" s="47" t="inlineStr">
        <is>
          <t>Por Hacer</t>
        </is>
      </c>
      <c r="K9" s="30" t="inlineStr">
        <is>
          <t>No</t>
        </is>
      </c>
    </row>
    <row r="10" ht="28" customHeight="1">
      <c r="A10" s="22" t="inlineStr">
        <is>
          <t>T-01.1</t>
        </is>
      </c>
      <c r="B10" s="16" t="inlineStr">
        <is>
          <t>EP-01: Autenticación y Control de Acceso</t>
        </is>
      </c>
      <c r="C10" s="22" t="inlineStr">
        <is>
          <t>HU-01</t>
        </is>
      </c>
      <c r="D10" s="24" t="inlineStr">
        <is>
          <t>Backend</t>
        </is>
      </c>
      <c r="E10" s="16" t="inlineStr">
        <is>
          <t>Implementación de controlador POST /api/v1/auth/login y servicio de autenticación: verificación de credenciales contra hash seguro bcrypt (work factor 10), generación de token JWT firmado (HS256) con payload estructurado (user_id, email, role, exp de 2h), y middleware de bloqueo temporal de cuenta (15 min) tras 3 intentos fallidos.</t>
        </is>
      </c>
      <c r="F10" s="43" t="n">
        <v>4</v>
      </c>
      <c r="G10" s="46" t="n">
        <v>0</v>
      </c>
      <c r="H10" s="46" t="n">
        <v>4</v>
      </c>
      <c r="I10" s="24" t="inlineStr">
        <is>
          <t>Patrick Ponce</t>
        </is>
      </c>
      <c r="J10" s="47" t="inlineStr">
        <is>
          <t>Por Hacer</t>
        </is>
      </c>
      <c r="K10" s="24" t="inlineStr">
        <is>
          <t>No</t>
        </is>
      </c>
    </row>
    <row r="11" ht="28" customHeight="1">
      <c r="A11" s="27" t="inlineStr">
        <is>
          <t>T-01.2</t>
        </is>
      </c>
      <c r="B11" s="28" t="inlineStr">
        <is>
          <t>EP-01: Autenticación y Control de Acceso</t>
        </is>
      </c>
      <c r="C11" s="27" t="inlineStr">
        <is>
          <t>HU-01</t>
        </is>
      </c>
      <c r="D11" s="30" t="inlineStr">
        <is>
          <t>Backend</t>
        </is>
      </c>
      <c r="E11" s="28" t="inlineStr">
        <is>
          <t>Implementación de middleware de autorización verifyToken e interceptores por roles (RoleGuard: Agente, Admin, Cliente), junto con el registro transaccional en tabla audit_auth_logs de metadatos de acceso: dirección IP origen (header x-forwarded-for), cabecera User-Agent, timestamp UTC, tipo de evento y estado del intento.</t>
        </is>
      </c>
      <c r="F11" s="36" t="n">
        <v>3</v>
      </c>
      <c r="G11" s="37" t="n">
        <v>0</v>
      </c>
      <c r="H11" s="37" t="n">
        <v>3</v>
      </c>
      <c r="I11" s="30" t="inlineStr">
        <is>
          <t>Fabio Saavedra</t>
        </is>
      </c>
      <c r="J11" s="47" t="inlineStr">
        <is>
          <t>Por Hacer</t>
        </is>
      </c>
      <c r="K11" s="30" t="inlineStr">
        <is>
          <t>No</t>
        </is>
      </c>
    </row>
    <row r="12" ht="28" customHeight="1">
      <c r="A12" s="22" t="inlineStr">
        <is>
          <t>T-01.3</t>
        </is>
      </c>
      <c r="B12" s="16" t="inlineStr">
        <is>
          <t>EP-01: Autenticación y Control de Acceso</t>
        </is>
      </c>
      <c r="C12" s="22" t="inlineStr">
        <is>
          <t>HU-01</t>
        </is>
      </c>
      <c r="D12" s="24" t="inlineStr">
        <is>
          <t>Frontend</t>
        </is>
      </c>
      <c r="E12" s="16" t="inlineStr">
        <is>
          <t>Desarrollo de vista SPA reactiva de login con validación en tiempo real mediante regex (formato de correo y longitud de contraseña), manejo de estado global de sesión (React Context / Pinia), checkbox 'Recordarme' con persistencia segura de token de refresco (sesión extendida de 8h), y manejo visual de códigos HTTP (401, 423).</t>
        </is>
      </c>
      <c r="F12" s="43" t="n">
        <v>4</v>
      </c>
      <c r="G12" s="46" t="n">
        <v>0</v>
      </c>
      <c r="H12" s="46" t="n">
        <v>4</v>
      </c>
      <c r="I12" s="24" t="inlineStr">
        <is>
          <t>Kiara Linares</t>
        </is>
      </c>
      <c r="J12" s="47" t="inlineStr">
        <is>
          <t>Por Hacer</t>
        </is>
      </c>
      <c r="K12" s="24" t="inlineStr">
        <is>
          <t>No</t>
        </is>
      </c>
    </row>
    <row r="13" ht="28" customHeight="1">
      <c r="A13" s="27" t="inlineStr">
        <is>
          <t>T-01.4</t>
        </is>
      </c>
      <c r="B13" s="28" t="inlineStr">
        <is>
          <t>EP-01: Autenticación y Control de Acceso</t>
        </is>
      </c>
      <c r="C13" s="27" t="inlineStr">
        <is>
          <t>HU-01</t>
        </is>
      </c>
      <c r="D13" s="30" t="inlineStr">
        <is>
          <t>QA</t>
        </is>
      </c>
      <c r="E13" s="28" t="inlineStr">
        <is>
          <t>Construcción y ejecución de suite de pruebas unitarias automatizadas con mocks (Jest/Mocha) cubriendo los 4 criterios de aceptación BDD (Gherkin) de HU-01: login exitoso con retorno de JWT, rechazo por credenciales erróneas, activación del contador de bloqueo al tercer intento, y validación de expiración de sesión.</t>
        </is>
      </c>
      <c r="F13" s="36" t="n">
        <v>1</v>
      </c>
      <c r="G13" s="37" t="n">
        <v>0</v>
      </c>
      <c r="H13" s="37" t="n">
        <v>1</v>
      </c>
      <c r="I13" s="30" t="inlineStr">
        <is>
          <t>Fabio Saavedra</t>
        </is>
      </c>
      <c r="J13" s="47" t="inlineStr">
        <is>
          <t>Por Hacer</t>
        </is>
      </c>
      <c r="K13" s="30" t="inlineStr">
        <is>
          <t>No</t>
        </is>
      </c>
    </row>
    <row r="14" ht="28" customHeight="1">
      <c r="A14" s="22" t="inlineStr">
        <is>
          <t>T-04.1</t>
        </is>
      </c>
      <c r="B14" s="16" t="inlineStr">
        <is>
          <t>EP-02: Directorio de Clientes Importadores</t>
        </is>
      </c>
      <c r="C14" s="22" t="inlineStr">
        <is>
          <t>HU-04</t>
        </is>
      </c>
      <c r="D14" s="24" t="inlineStr">
        <is>
          <t>Backend</t>
        </is>
      </c>
      <c r="E14" s="16" t="inlineStr">
        <is>
          <t>Modelado relacional de entidad Cliente e implementación de endpoints POST/PUT /api/v1/importadores: validación algorítmica de RUC peruano (longitud de 11 dígitos, prefijos válidos 10/20 y verificación matemática por módulo 11), control de duplicados en BD y sanitización de campos de razón social y dirección fiscal.</t>
        </is>
      </c>
      <c r="F14" s="43" t="n">
        <v>5</v>
      </c>
      <c r="G14" s="46" t="n">
        <v>0</v>
      </c>
      <c r="H14" s="46" t="n">
        <v>5</v>
      </c>
      <c r="I14" s="24" t="inlineStr">
        <is>
          <t>Patrick Ponce</t>
        </is>
      </c>
      <c r="J14" s="47" t="inlineStr">
        <is>
          <t>Por Hacer</t>
        </is>
      </c>
      <c r="K14" s="24" t="inlineStr">
        <is>
          <t>No</t>
        </is>
      </c>
    </row>
    <row r="15" ht="28" customHeight="1">
      <c r="A15" s="27" t="inlineStr">
        <is>
          <t>T-04.2</t>
        </is>
      </c>
      <c r="B15" s="28" t="inlineStr">
        <is>
          <t>EP-02: Directorio de Clientes Importadores</t>
        </is>
      </c>
      <c r="C15" s="27" t="inlineStr">
        <is>
          <t>HU-04</t>
        </is>
      </c>
      <c r="D15" s="30" t="inlineStr">
        <is>
          <t>Backend</t>
        </is>
      </c>
      <c r="E15" s="28" t="inlineStr">
        <is>
          <t>Implementación de servicio multipart/form-data para carga y almacenamiento de archivo de carta poder en formato PDF (límite 10 MB): validación de firma mágica de archivo (magic bytes), almacenamiento con nombre hasheado (UUIDv4), persistencia de metadatos en BD y cálculo automático de fecha de caducidad con flag de alerta a 15 días.</t>
        </is>
      </c>
      <c r="F15" s="36" t="n">
        <v>5</v>
      </c>
      <c r="G15" s="37" t="n">
        <v>0</v>
      </c>
      <c r="H15" s="37" t="n">
        <v>5</v>
      </c>
      <c r="I15" s="30" t="inlineStr">
        <is>
          <t>Fabio Saavedra</t>
        </is>
      </c>
      <c r="J15" s="47" t="inlineStr">
        <is>
          <t>Por Hacer</t>
        </is>
      </c>
      <c r="K15" s="30" t="inlineStr">
        <is>
          <t>No</t>
        </is>
      </c>
    </row>
    <row r="16" ht="28" customHeight="1">
      <c r="A16" s="22" t="inlineStr">
        <is>
          <t>T-04.3</t>
        </is>
      </c>
      <c r="B16" s="16" t="inlineStr">
        <is>
          <t>EP-02: Directorio de Clientes Importadores</t>
        </is>
      </c>
      <c r="C16" s="22" t="inlineStr">
        <is>
          <t>HU-04</t>
        </is>
      </c>
      <c r="D16" s="24" t="inlineStr">
        <is>
          <t>Backend</t>
        </is>
      </c>
      <c r="E16" s="16" t="inlineStr">
        <is>
          <t>Configuración de disparador (trigger) o interceptor ORM para registro de trazabilidad en tabla audit_importadores: almacenamiento de snapshot JSON con el estado anterior y nuevo de cada registro modificado, ID del usuario responsable de la mutación y timestamp de auditoría.</t>
        </is>
      </c>
      <c r="F16" s="43" t="n">
        <v>3</v>
      </c>
      <c r="G16" s="46" t="n">
        <v>0</v>
      </c>
      <c r="H16" s="46" t="n">
        <v>3</v>
      </c>
      <c r="I16" s="24" t="inlineStr">
        <is>
          <t>Patrick Ponce</t>
        </is>
      </c>
      <c r="J16" s="47" t="inlineStr">
        <is>
          <t>Por Hacer</t>
        </is>
      </c>
      <c r="K16" s="24" t="inlineStr">
        <is>
          <t>No</t>
        </is>
      </c>
    </row>
    <row r="17" ht="28" customHeight="1">
      <c r="A17" s="27" t="inlineStr">
        <is>
          <t>T-04.4</t>
        </is>
      </c>
      <c r="B17" s="28" t="inlineStr">
        <is>
          <t>EP-02: Directorio de Clientes Importadores</t>
        </is>
      </c>
      <c r="C17" s="27" t="inlineStr">
        <is>
          <t>HU-04</t>
        </is>
      </c>
      <c r="D17" s="30" t="inlineStr">
        <is>
          <t>Frontend</t>
        </is>
      </c>
      <c r="E17" s="28" t="inlineStr">
        <is>
          <t>Construcción de componente frontend de administración de importadores: formulario reactivo con validación asíncrona de RUC contra endpoint de unicidad, dropzone para adjuntar carta poder con visor previo de PDF, tabla paginada de clientes activos/inactivos y modal de edición con autocompletado.</t>
        </is>
      </c>
      <c r="F17" s="36" t="n">
        <v>5</v>
      </c>
      <c r="G17" s="37" t="n">
        <v>0</v>
      </c>
      <c r="H17" s="37" t="n">
        <v>5</v>
      </c>
      <c r="I17" s="30" t="inlineStr">
        <is>
          <t>Kiara Linares</t>
        </is>
      </c>
      <c r="J17" s="47" t="inlineStr">
        <is>
          <t>Por Hacer</t>
        </is>
      </c>
      <c r="K17" s="30" t="inlineStr">
        <is>
          <t>No</t>
        </is>
      </c>
    </row>
    <row r="18" ht="28" customHeight="1">
      <c r="A18" s="22" t="inlineStr">
        <is>
          <t>T-04.5</t>
        </is>
      </c>
      <c r="B18" s="16" t="inlineStr">
        <is>
          <t>EP-02: Directorio de Clientes Importadores</t>
        </is>
      </c>
      <c r="C18" s="22" t="inlineStr">
        <is>
          <t>HU-04</t>
        </is>
      </c>
      <c r="D18" s="24" t="inlineStr">
        <is>
          <t>QA</t>
        </is>
      </c>
      <c r="E18" s="16" t="inlineStr">
        <is>
          <t>Diseño y ejecución de casos de prueba funcionales y de límites cubriendo los 4 criterios de aceptación de HU-04: intento de registro con RUC erróneo de 10 dígitos, rechazo de archivos no-PDF, notificación de poder vencido y verificación de persistencia de contactos comerciales y operativos.</t>
        </is>
      </c>
      <c r="F18" s="43" t="n">
        <v>2</v>
      </c>
      <c r="G18" s="46" t="n">
        <v>0</v>
      </c>
      <c r="H18" s="46" t="n">
        <v>2</v>
      </c>
      <c r="I18" s="24" t="inlineStr">
        <is>
          <t>Kiara Linares</t>
        </is>
      </c>
      <c r="J18" s="47" t="inlineStr">
        <is>
          <t>Por Hacer</t>
        </is>
      </c>
      <c r="K18" s="24" t="inlineStr">
        <is>
          <t>No</t>
        </is>
      </c>
    </row>
    <row r="19" ht="28" customHeight="1">
      <c r="A19" s="27" t="inlineStr">
        <is>
          <t>T-03.1</t>
        </is>
      </c>
      <c r="B19" s="28" t="inlineStr">
        <is>
          <t>EP-03: Apertura y Control del Despacho</t>
        </is>
      </c>
      <c r="C19" s="27" t="inlineStr">
        <is>
          <t>HU-03</t>
        </is>
      </c>
      <c r="D19" s="30" t="inlineStr">
        <is>
          <t>Backend</t>
        </is>
      </c>
      <c r="E19" s="28" t="inlineStr">
        <is>
          <t>Desarrollo de generador transaccional concurrente de código de despacho único con formato 'DESP-YYYY-XXXX': uso de secuencias nativas de base de datos dentro de transacción con nivel de aislamiento READ COMMITTED para garantizar correlatividad estricta sin colisiones concurrentes.</t>
        </is>
      </c>
      <c r="F19" s="36" t="n">
        <v>4</v>
      </c>
      <c r="G19" s="37" t="n">
        <v>0</v>
      </c>
      <c r="H19" s="37" t="n">
        <v>4</v>
      </c>
      <c r="I19" s="30" t="inlineStr">
        <is>
          <t>Patrick Ponce</t>
        </is>
      </c>
      <c r="J19" s="47" t="inlineStr">
        <is>
          <t>Por Hacer</t>
        </is>
      </c>
      <c r="K19" s="30" t="inlineStr">
        <is>
          <t>No</t>
        </is>
      </c>
    </row>
    <row r="20" ht="28" customHeight="1">
      <c r="A20" s="22" t="inlineStr">
        <is>
          <t>T-03.2</t>
        </is>
      </c>
      <c r="B20" s="16" t="inlineStr">
        <is>
          <t>EP-03: Apertura y Control del Despacho</t>
        </is>
      </c>
      <c r="C20" s="22" t="inlineStr">
        <is>
          <t>HU-03</t>
        </is>
      </c>
      <c r="D20" s="24" t="inlineStr">
        <is>
          <t>Backend</t>
        </is>
      </c>
      <c r="E20" s="16" t="inlineStr">
        <is>
          <t>Creación de endpoints GET /api/v1/catalogos/regimenes y /aduanas para alimentar listas maestras normalizadas: precarga de regímenes aduaneros SUNAT (Régimen 10 - Importación Definitiva) e intendencias aduaneras operativas (Aduana 118 Marítima del Callao, Aduana 235 Aérea).</t>
        </is>
      </c>
      <c r="F20" s="43" t="n">
        <v>3</v>
      </c>
      <c r="G20" s="46" t="n">
        <v>0</v>
      </c>
      <c r="H20" s="46" t="n">
        <v>3</v>
      </c>
      <c r="I20" s="24" t="inlineStr">
        <is>
          <t>Fabio Saavedra</t>
        </is>
      </c>
      <c r="J20" s="47" t="inlineStr">
        <is>
          <t>Por Hacer</t>
        </is>
      </c>
      <c r="K20" s="24" t="inlineStr">
        <is>
          <t>No</t>
        </is>
      </c>
    </row>
    <row r="21" ht="28" customHeight="1">
      <c r="A21" s="27" t="inlineStr">
        <is>
          <t>T-03.3</t>
        </is>
      </c>
      <c r="B21" s="28" t="inlineStr">
        <is>
          <t>EP-03: Apertura y Control del Despacho</t>
        </is>
      </c>
      <c r="C21" s="27" t="inlineStr">
        <is>
          <t>HU-03</t>
        </is>
      </c>
      <c r="D21" s="30" t="inlineStr">
        <is>
          <t>Backend</t>
        </is>
      </c>
      <c r="E21" s="28" t="inlineStr">
        <is>
          <t>Implementación de middleware de validación de negocio en endpoint POST /api/v1/despachos: verificación obligatoria de que el importador seleccionado cuente con carta poder vigente en el sistema antes de permitir el registro formal, retornando error 422 Unprocessable Entity en caso de caducidad.</t>
        </is>
      </c>
      <c r="F21" s="36" t="n">
        <v>3</v>
      </c>
      <c r="G21" s="37" t="n">
        <v>0</v>
      </c>
      <c r="H21" s="37" t="n">
        <v>3</v>
      </c>
      <c r="I21" s="30" t="inlineStr">
        <is>
          <t>Patrick Ponce</t>
        </is>
      </c>
      <c r="J21" s="47" t="inlineStr">
        <is>
          <t>Por Hacer</t>
        </is>
      </c>
      <c r="K21" s="30" t="inlineStr">
        <is>
          <t>No</t>
        </is>
      </c>
    </row>
    <row r="22" ht="28" customHeight="1">
      <c r="A22" s="22" t="inlineStr">
        <is>
          <t>T-03.4</t>
        </is>
      </c>
      <c r="B22" s="16" t="inlineStr">
        <is>
          <t>EP-03: Apertura y Control del Despacho</t>
        </is>
      </c>
      <c r="C22" s="22" t="inlineStr">
        <is>
          <t>HU-03</t>
        </is>
      </c>
      <c r="D22" s="24" t="inlineStr">
        <is>
          <t>Frontend</t>
        </is>
      </c>
      <c r="E22" s="16" t="inlineStr">
        <is>
          <t>Construcción de interfaz guiada (stepper wizard) para creación de nuevo despacho: paso 1 de selección de importador con buscador predictivo, paso 2 de selección de régimen aduanero y aduana de destino, y soporte de guardado en estado 'Borrador' o registro definitivo en estado 'Apertura'.</t>
        </is>
      </c>
      <c r="F22" s="43" t="n">
        <v>6</v>
      </c>
      <c r="G22" s="46" t="n">
        <v>0</v>
      </c>
      <c r="H22" s="46" t="n">
        <v>6</v>
      </c>
      <c r="I22" s="24" t="inlineStr">
        <is>
          <t>Kiara Linares</t>
        </is>
      </c>
      <c r="J22" s="47" t="inlineStr">
        <is>
          <t>Por Hacer</t>
        </is>
      </c>
      <c r="K22" s="24" t="inlineStr">
        <is>
          <t>No</t>
        </is>
      </c>
    </row>
    <row r="23" ht="28" customHeight="1">
      <c r="A23" s="27" t="inlineStr">
        <is>
          <t>T-03.5</t>
        </is>
      </c>
      <c r="B23" s="28" t="inlineStr">
        <is>
          <t>EP-03: Apertura y Control del Despacho</t>
        </is>
      </c>
      <c r="C23" s="27" t="inlineStr">
        <is>
          <t>HU-03</t>
        </is>
      </c>
      <c r="D23" s="30" t="inlineStr">
        <is>
          <t>Frontend</t>
        </is>
      </c>
      <c r="E23" s="28" t="inlineStr">
        <is>
          <t>Implementación de componente visual de línea de tiempo y badge de estado operativo en cabecera de la ficha del despacho: visualización dinámica del hito inicial 'Apertura' con metadatos de fecha de creación, agente aduanero asignado y botón de navegación rápida.</t>
        </is>
      </c>
      <c r="F23" s="36" t="n">
        <v>2</v>
      </c>
      <c r="G23" s="37" t="n">
        <v>0</v>
      </c>
      <c r="H23" s="37" t="n">
        <v>2</v>
      </c>
      <c r="I23" s="30" t="inlineStr">
        <is>
          <t>Kiara Linares</t>
        </is>
      </c>
      <c r="J23" s="47" t="inlineStr">
        <is>
          <t>Por Hacer</t>
        </is>
      </c>
      <c r="K23" s="30" t="inlineStr">
        <is>
          <t>No</t>
        </is>
      </c>
    </row>
    <row r="24" ht="28" customHeight="1">
      <c r="A24" s="22" t="inlineStr">
        <is>
          <t>T-03.6</t>
        </is>
      </c>
      <c r="B24" s="16" t="inlineStr">
        <is>
          <t>EP-03: Apertura y Control del Despacho</t>
        </is>
      </c>
      <c r="C24" s="22" t="inlineStr">
        <is>
          <t>HU-03</t>
        </is>
      </c>
      <c r="D24" s="24" t="inlineStr">
        <is>
          <t>QA</t>
        </is>
      </c>
      <c r="E24" s="16" t="inlineStr">
        <is>
          <t>Ejecución de suite de pruebas automatizadas y de integración cubriendo los 4 criterios de aceptación de HU-03: generación correlativa atómica de 10 despachos simultáneos, bloqueo de apertura ante carta poder vencida, validación de campos obligatorios y guardado correcto en estado borrador.</t>
        </is>
      </c>
      <c r="F24" s="43" t="n">
        <v>2</v>
      </c>
      <c r="G24" s="46" t="n">
        <v>0</v>
      </c>
      <c r="H24" s="46" t="n">
        <v>2</v>
      </c>
      <c r="I24" s="24" t="inlineStr">
        <is>
          <t>Fabio Saavedra</t>
        </is>
      </c>
      <c r="J24" s="47" t="inlineStr">
        <is>
          <t>Por Hacer</t>
        </is>
      </c>
      <c r="K24" s="24" t="inlineStr">
        <is>
          <t>No</t>
        </is>
      </c>
    </row>
    <row r="25" ht="28" customHeight="1">
      <c r="A25" s="27" t="inlineStr">
        <is>
          <t>T-02.1</t>
        </is>
      </c>
      <c r="B25" s="28" t="inlineStr">
        <is>
          <t>EP-05: Monitoreo y Cuadro de Mando</t>
        </is>
      </c>
      <c r="C25" s="27" t="inlineStr">
        <is>
          <t>HU-02</t>
        </is>
      </c>
      <c r="D25" s="30" t="inlineStr">
        <is>
          <t>Backend</t>
        </is>
      </c>
      <c r="E25" s="28" t="inlineStr">
        <is>
          <t>Desarrollo de endpoint GET /api/v1/dashboard/kpis con optimización de índices B-Tree: consultas SQL agregadas de alto rendimiento (COUNT condicionales con FILTER) para contabilizar despachos activos, despachos en canal naranja/rojo, despachos con levante y despachos con alertas por vencer.</t>
        </is>
      </c>
      <c r="F25" s="36" t="n">
        <v>5</v>
      </c>
      <c r="G25" s="37" t="n">
        <v>0</v>
      </c>
      <c r="H25" s="37" t="n">
        <v>5</v>
      </c>
      <c r="I25" s="30" t="inlineStr">
        <is>
          <t>Fabio Saavedra</t>
        </is>
      </c>
      <c r="J25" s="47" t="inlineStr">
        <is>
          <t>Por Hacer</t>
        </is>
      </c>
      <c r="K25" s="30" t="inlineStr">
        <is>
          <t>No</t>
        </is>
      </c>
    </row>
    <row r="26" ht="28" customHeight="1">
      <c r="A26" s="22" t="inlineStr">
        <is>
          <t>T-02.2</t>
        </is>
      </c>
      <c r="B26" s="16" t="inlineStr">
        <is>
          <t>EP-05: Monitoreo y Cuadro de Mando</t>
        </is>
      </c>
      <c r="C26" s="22" t="inlineStr">
        <is>
          <t>HU-02</t>
        </is>
      </c>
      <c r="D26" s="24" t="inlineStr">
        <is>
          <t>Backend</t>
        </is>
      </c>
      <c r="E26" s="16" t="inlineStr">
        <is>
          <t>Implementación de filtros multicriterio dinámicos mediante query parameters en GET /api/v1/despachos (filtrado por aduana, cliente importador, rango de fechas ETA y estado), junto con servicio de streaming para exportación directa del listado filtrado a formato Excel (.xlsx).</t>
        </is>
      </c>
      <c r="F26" s="43" t="n">
        <v>4</v>
      </c>
      <c r="G26" s="46" t="n">
        <v>0</v>
      </c>
      <c r="H26" s="46" t="n">
        <v>4</v>
      </c>
      <c r="I26" s="24" t="inlineStr">
        <is>
          <t>Patrick Ponce</t>
        </is>
      </c>
      <c r="J26" s="47" t="inlineStr">
        <is>
          <t>Por Hacer</t>
        </is>
      </c>
      <c r="K26" s="24" t="inlineStr">
        <is>
          <t>No</t>
        </is>
      </c>
    </row>
    <row r="27" ht="28" customHeight="1">
      <c r="A27" s="27" t="inlineStr">
        <is>
          <t>T-02.3</t>
        </is>
      </c>
      <c r="B27" s="28" t="inlineStr">
        <is>
          <t>EP-05: Monitoreo y Cuadro de Mando</t>
        </is>
      </c>
      <c r="C27" s="27" t="inlineStr">
        <is>
          <t>HU-02</t>
        </is>
      </c>
      <c r="D27" s="30" t="inlineStr">
        <is>
          <t>Frontend</t>
        </is>
      </c>
      <c r="E27" s="28" t="inlineStr">
        <is>
          <t>Maquetación responsiva del Dashboard operativo: grid de tarjetas KPI métricas con micro-gráficos de tendencia, barra de búsqueda global y tabla interactiva de 'Despachos recientes' ordenada de forma predeterminada por fecha estimada de arribo (ETA) más próxima.</t>
        </is>
      </c>
      <c r="F27" s="36" t="n">
        <v>6</v>
      </c>
      <c r="G27" s="37" t="n">
        <v>0</v>
      </c>
      <c r="H27" s="37" t="n">
        <v>6</v>
      </c>
      <c r="I27" s="30" t="inlineStr">
        <is>
          <t>Kiara Linares</t>
        </is>
      </c>
      <c r="J27" s="47" t="inlineStr">
        <is>
          <t>Por Hacer</t>
        </is>
      </c>
      <c r="K27" s="30" t="inlineStr">
        <is>
          <t>No</t>
        </is>
      </c>
    </row>
    <row r="28" ht="28" customHeight="1">
      <c r="A28" s="22" t="inlineStr">
        <is>
          <t>T-02.4</t>
        </is>
      </c>
      <c r="B28" s="16" t="inlineStr">
        <is>
          <t>EP-05: Monitoreo y Cuadro de Mando</t>
        </is>
      </c>
      <c r="C28" s="22" t="inlineStr">
        <is>
          <t>HU-02</t>
        </is>
      </c>
      <c r="D28" s="24" t="inlineStr">
        <is>
          <t>Frontend</t>
        </is>
      </c>
      <c r="E28" s="16" t="inlineStr">
        <is>
          <t>Configuración de enrutamiento contextual SPA (Single Page Application): navegación fluida desde cualquier fila o tarjeta del dashboard hacia la vista de detalle del expediente del despacho, conservando los parámetros de filtrado y paginación en la URL (query params).</t>
        </is>
      </c>
      <c r="F28" s="43" t="n">
        <v>3</v>
      </c>
      <c r="G28" s="46" t="n">
        <v>0</v>
      </c>
      <c r="H28" s="46" t="n">
        <v>3</v>
      </c>
      <c r="I28" s="24" t="inlineStr">
        <is>
          <t>Kiara Linares</t>
        </is>
      </c>
      <c r="J28" s="47" t="inlineStr">
        <is>
          <t>Por Hacer</t>
        </is>
      </c>
      <c r="K28" s="24" t="inlineStr">
        <is>
          <t>No</t>
        </is>
      </c>
    </row>
    <row r="29" ht="28" customHeight="1">
      <c r="A29" s="27" t="inlineStr">
        <is>
          <t>T-02.5</t>
        </is>
      </c>
      <c r="B29" s="28" t="inlineStr">
        <is>
          <t>EP-05: Monitoreo y Cuadro de Mando</t>
        </is>
      </c>
      <c r="C29" s="27" t="inlineStr">
        <is>
          <t>HU-02</t>
        </is>
      </c>
      <c r="D29" s="30" t="inlineStr">
        <is>
          <t>QA</t>
        </is>
      </c>
      <c r="E29" s="28" t="inlineStr">
        <is>
          <t>Pruebas de rendimiento, estrés y carga del dashboard: medición de tiempos de respuesta con dataset sintético volumétrico (1,000 despachos de prueba) garantizando renderizado y respuesta de API &lt; 500 ms, y verificación de los 4 criterios de aceptación de HU-02.</t>
        </is>
      </c>
      <c r="F29" s="36" t="n">
        <v>2</v>
      </c>
      <c r="G29" s="37" t="n">
        <v>0</v>
      </c>
      <c r="H29" s="37" t="n">
        <v>2</v>
      </c>
      <c r="I29" s="30" t="inlineStr">
        <is>
          <t>Fabio Saavedra</t>
        </is>
      </c>
      <c r="J29" s="47" t="inlineStr">
        <is>
          <t>Por Hacer</t>
        </is>
      </c>
      <c r="K29" s="30" t="inlineStr">
        <is>
          <t>No</t>
        </is>
      </c>
    </row>
    <row r="30" ht="28" customHeight="1">
      <c r="A30" s="22" t="inlineStr">
        <is>
          <t>T-05.1</t>
        </is>
      </c>
      <c r="B30" s="16" t="inlineStr">
        <is>
          <t>EP-04: Transporte Marítimo y Contenedores</t>
        </is>
      </c>
      <c r="C30" s="22" t="inlineStr">
        <is>
          <t>HU-05</t>
        </is>
      </c>
      <c r="D30" s="24" t="inlineStr">
        <is>
          <t>Backend</t>
        </is>
      </c>
      <c r="E30" s="16" t="inlineStr">
        <is>
          <t>Modelado relacional DDL de tablas embarques_maritimos y contenedores_despacho con claves foráneas vinculadas al despacho: campos para naviera, nave, viaje, puerto origen (POL), puerto descarga (Callao POD), tipo de conocimiento BL (Master / House) y modalidad de carga (FCL / LCL).</t>
        </is>
      </c>
      <c r="F30" s="43" t="n">
        <v>4</v>
      </c>
      <c r="G30" s="46" t="n">
        <v>0</v>
      </c>
      <c r="H30" s="46" t="n">
        <v>4</v>
      </c>
      <c r="I30" s="24" t="inlineStr">
        <is>
          <t>Patrick Ponce</t>
        </is>
      </c>
      <c r="J30" s="47" t="inlineStr">
        <is>
          <t>Por Hacer</t>
        </is>
      </c>
      <c r="K30" s="24" t="inlineStr">
        <is>
          <t>No</t>
        </is>
      </c>
    </row>
    <row r="31" ht="28" customHeight="1">
      <c r="A31" s="27" t="inlineStr">
        <is>
          <t>T-05.2</t>
        </is>
      </c>
      <c r="B31" s="28" t="inlineStr">
        <is>
          <t>EP-04: Transporte Marítimo y Contenedores</t>
        </is>
      </c>
      <c r="C31" s="27" t="inlineStr">
        <is>
          <t>HU-05</t>
        </is>
      </c>
      <c r="D31" s="30" t="inlineStr">
        <is>
          <t>Backend</t>
        </is>
      </c>
      <c r="E31" s="28" t="inlineStr">
        <is>
          <t>Implementación de algoritmo de validación técnica de contenedores bajo norma internacional ISO 6346: verificación de estructura (código de propietario de 3 letras, identificador de categoría 'U', número de serie de 6 dígitos) y cálculo matemático del dígito verificador para prevenir errores de tipeo.</t>
        </is>
      </c>
      <c r="F31" s="36" t="n">
        <v>4</v>
      </c>
      <c r="G31" s="37" t="n">
        <v>0</v>
      </c>
      <c r="H31" s="37" t="n">
        <v>4</v>
      </c>
      <c r="I31" s="30" t="inlineStr">
        <is>
          <t>Fabio Saavedra</t>
        </is>
      </c>
      <c r="J31" s="47" t="inlineStr">
        <is>
          <t>Por Hacer</t>
        </is>
      </c>
      <c r="K31" s="30" t="inlineStr">
        <is>
          <t>No</t>
        </is>
      </c>
    </row>
    <row r="32" ht="28" customHeight="1">
      <c r="A32" s="22" t="inlineStr">
        <is>
          <t>T-05.3</t>
        </is>
      </c>
      <c r="B32" s="16" t="inlineStr">
        <is>
          <t>EP-04: Transporte Marítimo y Contenedores</t>
        </is>
      </c>
      <c r="C32" s="22" t="inlineStr">
        <is>
          <t>HU-05</t>
        </is>
      </c>
      <c r="D32" s="24" t="inlineStr">
        <is>
          <t>Backend</t>
        </is>
      </c>
      <c r="E32" s="16" t="inlineStr">
        <is>
          <t>Implementación de regla de cálculo automático de plazos de sobrestadía y almacenaje portuario en backend: recálculo automático de la fecha límite de almacenaje gratuito en depósito temporal (30 días desde arribo) al modificar la fecha ETA marítima, disparando alerta si la fecha actual supera el límite.</t>
        </is>
      </c>
      <c r="F32" s="43" t="n">
        <v>4</v>
      </c>
      <c r="G32" s="46" t="n">
        <v>0</v>
      </c>
      <c r="H32" s="46" t="n">
        <v>4</v>
      </c>
      <c r="I32" s="24" t="inlineStr">
        <is>
          <t>Patrick Ponce</t>
        </is>
      </c>
      <c r="J32" s="47" t="inlineStr">
        <is>
          <t>Por Hacer</t>
        </is>
      </c>
      <c r="K32" s="24" t="inlineStr">
        <is>
          <t>No</t>
        </is>
      </c>
    </row>
    <row r="33" ht="28" customHeight="1">
      <c r="A33" s="27" t="inlineStr">
        <is>
          <t>T-05.4</t>
        </is>
      </c>
      <c r="B33" s="28" t="inlineStr">
        <is>
          <t>EP-04: Transporte Marítimo y Contenedores</t>
        </is>
      </c>
      <c r="C33" s="27" t="inlineStr">
        <is>
          <t>HU-05</t>
        </is>
      </c>
      <c r="D33" s="30" t="inlineStr">
        <is>
          <t>Frontend</t>
        </is>
      </c>
      <c r="E33" s="28" t="inlineStr">
        <is>
          <t>Desarrollo de interfaz de usuario para registro de datos marítimos y componente de sub-tabla dinámica de contenedores: selector de tipo de contenedor (20' Standard, 40' High Cube, 40' Reefer), campos de número de serie y precinto aduanero, con capacidad de agregar y eliminar múltiples contenedores por despacho.</t>
        </is>
      </c>
      <c r="F33" s="36" t="n">
        <v>6</v>
      </c>
      <c r="G33" s="37" t="n">
        <v>0</v>
      </c>
      <c r="H33" s="37" t="n">
        <v>6</v>
      </c>
      <c r="I33" s="30" t="inlineStr">
        <is>
          <t>Kiara Linares</t>
        </is>
      </c>
      <c r="J33" s="47" t="inlineStr">
        <is>
          <t>Por Hacer</t>
        </is>
      </c>
      <c r="K33" s="30" t="inlineStr">
        <is>
          <t>No</t>
        </is>
      </c>
    </row>
    <row r="34" ht="28" customHeight="1">
      <c r="A34" s="22" t="inlineStr">
        <is>
          <t>T-05.5</t>
        </is>
      </c>
      <c r="B34" s="16" t="inlineStr">
        <is>
          <t>EP-04: Transporte Marítimo y Contenedores</t>
        </is>
      </c>
      <c r="C34" s="22" t="inlineStr">
        <is>
          <t>HU-05</t>
        </is>
      </c>
      <c r="D34" s="24" t="inlineStr">
        <is>
          <t>QA</t>
        </is>
      </c>
      <c r="E34" s="16" t="inlineStr">
        <is>
          <t>Diseño y ejecución de suite de pruebas funcionales cubriendo los 4 criterios de aceptación de HU-05: validación de coherencia temporal (rechazo si fecha de zarpe es posterior o igual al ETA), rechazo de código de contenedor inválido según ISO 6346 y verificación de recálculo de días libres de almacenaje.</t>
        </is>
      </c>
      <c r="F34" s="43" t="n">
        <v>2</v>
      </c>
      <c r="G34" s="46" t="n">
        <v>0</v>
      </c>
      <c r="H34" s="46" t="n">
        <v>2</v>
      </c>
      <c r="I34" s="24" t="inlineStr">
        <is>
          <t>Fabio Saavedra</t>
        </is>
      </c>
      <c r="J34" s="47" t="inlineStr">
        <is>
          <t>Por Hacer</t>
        </is>
      </c>
      <c r="K34" s="24" t="inlineStr">
        <is>
          <t>No</t>
        </is>
      </c>
    </row>
    <row r="35" ht="26" customHeight="1">
      <c r="A35" s="33" t="inlineStr">
        <is>
          <t>TOTAL GENERAL SPRINT BACKLOG (31 TAREAS TÉCNICAS SMART)</t>
        </is>
      </c>
      <c r="B35" s="6" t="n"/>
      <c r="C35" s="6" t="n"/>
      <c r="D35" s="6" t="n"/>
      <c r="E35" s="6" t="n"/>
      <c r="F35" s="41">
        <f>SUM(F4:F34)</f>
        <v/>
      </c>
      <c r="G35" s="34">
        <f>SUM(G4:G34)</f>
        <v/>
      </c>
      <c r="H35" s="34">
        <f>SUM(H4:H34)</f>
        <v/>
      </c>
      <c r="I35" s="35" t="inlineStr">
        <is>
          <t>Avance Inicial: 0h ejecutadas | 109h restantes planificadas</t>
        </is>
      </c>
      <c r="J35" s="6" t="n"/>
      <c r="K35" s="6" t="n"/>
    </row>
  </sheetData>
  <mergeCells count="3">
    <mergeCell ref="A1:K1"/>
    <mergeCell ref="I35:K35"/>
    <mergeCell ref="A35:E3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outlineLevelCol="0"/>
  <cols>
    <col width="15" customWidth="1" min="1" max="1"/>
    <col width="18" customWidth="1" min="2" max="2"/>
    <col width="55" customWidth="1" min="3" max="3"/>
    <col width="22" customWidth="1" min="4" max="4"/>
    <col width="22" customWidth="1" min="5" max="5"/>
    <col width="22" customWidth="1" min="6" max="6"/>
    <col width="34" customWidth="1" min="7" max="7"/>
  </cols>
  <sheetData>
    <row r="1" ht="28" customHeight="1">
      <c r="A1" s="3" t="inlineStr">
        <is>
          <t>SEGUIMIENTO DIARIO Y BURNDOWN CHART — SPRINT 1 (15 DÍAS HÁBILES)</t>
        </is>
      </c>
    </row>
    <row r="3" ht="26" customHeight="1">
      <c r="A3" s="21" t="inlineStr">
        <is>
          <t>Día del Sprint</t>
        </is>
      </c>
      <c r="B3" s="21" t="inlineStr">
        <is>
          <t>Semana Académica</t>
        </is>
      </c>
      <c r="C3" s="21" t="inlineStr">
        <is>
          <t>Hito / Evento Scrum</t>
        </is>
      </c>
      <c r="D3" s="21" t="inlineStr">
        <is>
          <t>Horas Ideales Restantes</t>
        </is>
      </c>
      <c r="E3" s="21" t="inlineStr">
        <is>
          <t>Horas Reales Restantes</t>
        </is>
      </c>
      <c r="F3" s="21" t="inlineStr">
        <is>
          <t>Story Points Restantes</t>
        </is>
      </c>
      <c r="G3" s="21" t="inlineStr">
        <is>
          <t>Video Daily / Evidencia</t>
        </is>
      </c>
    </row>
    <row r="4" ht="22" customHeight="1">
      <c r="A4" s="22" t="inlineStr">
        <is>
          <t>Día 1</t>
        </is>
      </c>
      <c r="B4" s="22" t="inlineStr">
        <is>
          <t>Semana 7</t>
        </is>
      </c>
      <c r="C4" s="16" t="inlineStr">
        <is>
          <t>Sprint Planning 1 (Ceremonia) &amp; Setup Repositorio GitFlow, Kanban Jira y PostgreSQL</t>
        </is>
      </c>
      <c r="D4" s="43" t="n">
        <v>101.7</v>
      </c>
      <c r="E4" s="46" t="n">
        <v>109</v>
      </c>
      <c r="F4" s="22" t="n">
        <v>23</v>
      </c>
      <c r="G4" s="16" t="inlineStr">
        <is>
          <t>Grabación Daily #1 (Arranque)</t>
        </is>
      </c>
    </row>
    <row r="5" ht="22" customHeight="1">
      <c r="A5" s="27" t="inlineStr">
        <is>
          <t>Día 2</t>
        </is>
      </c>
      <c r="B5" s="27" t="inlineStr">
        <is>
          <t>Semana 7</t>
        </is>
      </c>
      <c r="C5" s="28" t="inlineStr">
        <is>
          <t>Daily Scrum: Asignación de tareas T-01.x (HU-01 Login JWT y auditoría)</t>
        </is>
      </c>
      <c r="D5" s="36" t="n">
        <v>94.5</v>
      </c>
      <c r="E5" s="37" t="n">
        <v>104</v>
      </c>
      <c r="F5" s="27" t="n">
        <v>23</v>
      </c>
      <c r="G5" s="28" t="inlineStr"/>
    </row>
    <row r="6" ht="22" customHeight="1">
      <c r="A6" s="22" t="inlineStr">
        <is>
          <t>Día 3</t>
        </is>
      </c>
      <c r="B6" s="22" t="inlineStr">
        <is>
          <t>Semana 7</t>
        </is>
      </c>
      <c r="C6" s="16" t="inlineStr">
        <is>
          <t>Daily Scrum: Endpoint de autenticación POST /login y modelo de cliente importador (HU-04)</t>
        </is>
      </c>
      <c r="D6" s="43" t="n">
        <v>87.2</v>
      </c>
      <c r="E6" s="46" t="n">
        <v>98</v>
      </c>
      <c r="F6" s="22" t="n">
        <v>23</v>
      </c>
      <c r="G6" s="16" t="inlineStr"/>
    </row>
    <row r="7" ht="22" customHeight="1">
      <c r="A7" s="27" t="inlineStr">
        <is>
          <t>Día 4</t>
        </is>
      </c>
      <c r="B7" s="27" t="inlineStr">
        <is>
          <t>Semana 7</t>
        </is>
      </c>
      <c r="C7" s="28" t="inlineStr">
        <is>
          <t>Daily Scrum: Pantalla reactiva de login e implementación de servicio multipart carta poder</t>
        </is>
      </c>
      <c r="D7" s="36" t="n">
        <v>79.90000000000001</v>
      </c>
      <c r="E7" s="37" t="n">
        <v>90</v>
      </c>
      <c r="F7" s="27" t="n">
        <v>23</v>
      </c>
      <c r="G7" s="28" t="inlineStr"/>
    </row>
    <row r="8" ht="22" customHeight="1">
      <c r="A8" s="22" t="inlineStr">
        <is>
          <t>Día 5</t>
        </is>
      </c>
      <c r="B8" s="22" t="inlineStr">
        <is>
          <t>Semana 7</t>
        </is>
      </c>
      <c r="C8" s="16" t="inlineStr">
        <is>
          <t>Daily Scrum: Pruebas unitarias de HU-01 y cierre de HU-04 (Ambas historias terminadas)</t>
        </is>
      </c>
      <c r="D8" s="43" t="n">
        <v>72.7</v>
      </c>
      <c r="E8" s="46" t="n">
        <v>82</v>
      </c>
      <c r="F8" s="22" t="n">
        <v>15</v>
      </c>
      <c r="G8" s="16" t="inlineStr">
        <is>
          <t>Cierre Video S7</t>
        </is>
      </c>
    </row>
    <row r="9" ht="22" customHeight="1">
      <c r="A9" s="27" t="inlineStr">
        <is>
          <t>Día 6</t>
        </is>
      </c>
      <c r="B9" s="27" t="inlineStr">
        <is>
          <t>Semana 8</t>
        </is>
      </c>
      <c r="C9" s="28" t="inlineStr">
        <is>
          <t>Daily Scrum: Inicio de HU-03 (Generación de correlativo atómico DESP y régimen 10)</t>
        </is>
      </c>
      <c r="D9" s="36" t="n">
        <v>65.40000000000001</v>
      </c>
      <c r="E9" s="37" t="n">
        <v>74</v>
      </c>
      <c r="F9" s="27" t="n">
        <v>15</v>
      </c>
      <c r="G9" s="28" t="inlineStr">
        <is>
          <t>Grabación Daily #2 (Avance)</t>
        </is>
      </c>
    </row>
    <row r="10" ht="22" customHeight="1">
      <c r="A10" s="22" t="inlineStr">
        <is>
          <t>Día 7</t>
        </is>
      </c>
      <c r="B10" s="22" t="inlineStr">
        <is>
          <t>Semana 8</t>
        </is>
      </c>
      <c r="C10" s="16" t="inlineStr">
        <is>
          <t>Daily Scrum: Middleware de validación de carta poder y formulario guiado (stepper)</t>
        </is>
      </c>
      <c r="D10" s="43" t="n">
        <v>58.1</v>
      </c>
      <c r="E10" s="46" t="n">
        <v>66</v>
      </c>
      <c r="F10" s="22" t="n">
        <v>15</v>
      </c>
      <c r="G10" s="16" t="inlineStr"/>
    </row>
    <row r="11" ht="22" customHeight="1">
      <c r="A11" s="27" t="inlineStr">
        <is>
          <t>Día 8</t>
        </is>
      </c>
      <c r="B11" s="27" t="inlineStr">
        <is>
          <t>Semana 8</t>
        </is>
      </c>
      <c r="C11" s="28" t="inlineStr">
        <is>
          <t>Daily Scrum: Integración de hito visual de Apertura y pruebas automatizadas de HU-03</t>
        </is>
      </c>
      <c r="D11" s="36" t="n">
        <v>50.9</v>
      </c>
      <c r="E11" s="37" t="n">
        <v>58</v>
      </c>
      <c r="F11" s="27" t="n">
        <v>15</v>
      </c>
      <c r="G11" s="28" t="inlineStr"/>
    </row>
    <row r="12" ht="22" customHeight="1">
      <c r="A12" s="22" t="inlineStr">
        <is>
          <t>Día 9</t>
        </is>
      </c>
      <c r="B12" s="22" t="inlineStr">
        <is>
          <t>Semana 8</t>
        </is>
      </c>
      <c r="C12" s="16" t="inlineStr">
        <is>
          <t>Daily Scrum: Cierre de HU-03 e inicio de HU-02 (Dashboard: endpoint KPIs y queries indexadas)</t>
        </is>
      </c>
      <c r="D12" s="43" t="n">
        <v>43.6</v>
      </c>
      <c r="E12" s="46" t="n">
        <v>50</v>
      </c>
      <c r="F12" s="22" t="n">
        <v>10</v>
      </c>
      <c r="G12" s="16" t="inlineStr"/>
    </row>
    <row r="13" ht="22" customHeight="1">
      <c r="A13" s="27" t="inlineStr">
        <is>
          <t>Día 10</t>
        </is>
      </c>
      <c r="B13" s="27" t="inlineStr">
        <is>
          <t>Semana 8</t>
        </is>
      </c>
      <c r="C13" s="28" t="inlineStr">
        <is>
          <t>Daily Scrum: Filtros dinámicos multicriterio y exportador a Excel (.xlsx) en HU-02</t>
        </is>
      </c>
      <c r="D13" s="36" t="n">
        <v>36.3</v>
      </c>
      <c r="E13" s="37" t="n">
        <v>42</v>
      </c>
      <c r="F13" s="27" t="n">
        <v>10</v>
      </c>
      <c r="G13" s="28" t="inlineStr">
        <is>
          <t>Cierre Video S8</t>
        </is>
      </c>
    </row>
    <row r="14" ht="22" customHeight="1">
      <c r="A14" s="22" t="inlineStr">
        <is>
          <t>Día 11</t>
        </is>
      </c>
      <c r="B14" s="22" t="inlineStr">
        <is>
          <t>Semana 9</t>
        </is>
      </c>
      <c r="C14" s="16" t="inlineStr">
        <is>
          <t>Daily Scrum: UI de Dashboard con tabla ordenada por ETA y cierre de HU-02</t>
        </is>
      </c>
      <c r="D14" s="43" t="n">
        <v>29.1</v>
      </c>
      <c r="E14" s="46" t="n">
        <v>33</v>
      </c>
      <c r="F14" s="22" t="n">
        <v>5</v>
      </c>
      <c r="G14" s="16" t="inlineStr">
        <is>
          <t>Grabación Daily #3 (Cierre)</t>
        </is>
      </c>
    </row>
    <row r="15" ht="22" customHeight="1">
      <c r="A15" s="27" t="inlineStr">
        <is>
          <t>Día 12</t>
        </is>
      </c>
      <c r="B15" s="27" t="inlineStr">
        <is>
          <t>Semana 9</t>
        </is>
      </c>
      <c r="C15" s="28" t="inlineStr">
        <is>
          <t>Daily Scrum: Inicio de HU-05 (Modelo relacional de embarque BL y contenedores)</t>
        </is>
      </c>
      <c r="D15" s="36" t="n">
        <v>21.8</v>
      </c>
      <c r="E15" s="37" t="n">
        <v>25</v>
      </c>
      <c r="F15" s="27" t="n">
        <v>5</v>
      </c>
      <c r="G15" s="28" t="inlineStr"/>
    </row>
    <row r="16" ht="22" customHeight="1">
      <c r="A16" s="22" t="inlineStr">
        <is>
          <t>Día 13</t>
        </is>
      </c>
      <c r="B16" s="22" t="inlineStr">
        <is>
          <t>Semana 9</t>
        </is>
      </c>
      <c r="C16" s="16" t="inlineStr">
        <is>
          <t>Daily Scrum: Algoritmo de validación ISO 6346 y recálculo automático de almacenaje</t>
        </is>
      </c>
      <c r="D16" s="43" t="n">
        <v>14.5</v>
      </c>
      <c r="E16" s="46" t="n">
        <v>17</v>
      </c>
      <c r="F16" s="22" t="n">
        <v>5</v>
      </c>
      <c r="G16" s="16" t="inlineStr"/>
    </row>
    <row r="17" ht="22" customHeight="1">
      <c r="A17" s="27" t="inlineStr">
        <is>
          <t>Día 14</t>
        </is>
      </c>
      <c r="B17" s="27" t="inlineStr">
        <is>
          <t>Semana 9</t>
        </is>
      </c>
      <c r="C17" s="28" t="inlineStr">
        <is>
          <t>Daily Scrum: Formulario de embarque BL, sub-tabla dinámica y pruebas de HU-05 (Done)</t>
        </is>
      </c>
      <c r="D17" s="36" t="n">
        <v>7.3</v>
      </c>
      <c r="E17" s="37" t="n">
        <v>9</v>
      </c>
      <c r="F17" s="27" t="n">
        <v>0</v>
      </c>
      <c r="G17" s="28" t="inlineStr">
        <is>
          <t>Cierre Video S9</t>
        </is>
      </c>
    </row>
    <row r="18" ht="22" customHeight="1">
      <c r="A18" s="22" t="inlineStr">
        <is>
          <t>Día 15</t>
        </is>
      </c>
      <c r="B18" s="22" t="inlineStr">
        <is>
          <t>Semana 9</t>
        </is>
      </c>
      <c r="C18" s="16" t="inlineStr">
        <is>
          <t>Ejecución de SonarQube / Snyk (SAST), Sprint Review, Retrospective y Demostración Final</t>
        </is>
      </c>
      <c r="D18" s="43" t="n">
        <v>0</v>
      </c>
      <c r="E18" s="46" t="n">
        <v>0</v>
      </c>
      <c r="F18" s="22" t="n">
        <v>0</v>
      </c>
      <c r="G18" s="16" t="inlineStr">
        <is>
          <t>Reporte Vulnerabilidades + Demo</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2026-09-18T02:34:27Z</dcterms:created>
  <dcterms:modified xmlns:dcterms="http://purl.org/dc/terms/" xmlns:xsi="http://www.w3.org/2001/XMLSchema-instance" xsi:type="dcterms:W3CDTF">2026-09-18T02:34:27Z</dcterms:modified>
</cp:coreProperties>
</file>