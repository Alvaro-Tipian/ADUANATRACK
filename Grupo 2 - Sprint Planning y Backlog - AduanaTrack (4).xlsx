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a &amp; Sprint Goal" sheetId="1" state="visible" r:id="rId3"/>
    <sheet name="Product Backlog (Priorizado)" sheetId="2" state="visible" r:id="rId4"/>
    <sheet name="Capacidad del Equipo" sheetId="3" state="visible" r:id="rId5"/>
    <sheet name="Sprint Backlog" sheetId="4" state="visible" r:id="rId6"/>
    <sheet name="Seguimiento &amp; Burndow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<sst xmlns="http://schemas.openxmlformats.org/spreadsheetml/2006/main" count="549" uniqueCount="327">
  <si>
    <t xml:space="preserve">UNIVERSIDAD DE SAN MARTÍN DE PORRES — FACULTAD DE INGENIERÍA Y ARQUITECTURA</t>
  </si>
  <si>
    <t xml:space="preserve">ESCUELA PROFESIONAL DE INGENIERÍA DE COMPUTACIÓN Y SISTEMAS</t>
  </si>
  <si>
    <t xml:space="preserve">DISEÑO E IMPLEMENTACIÓN DE SISTEMAS — SPRINT PLANNING Y BACKLOG</t>
  </si>
  <si>
    <t xml:space="preserve">Proyecto</t>
  </si>
  <si>
    <t xml:space="preserve">Sistema de Seguimiento Aduanero de Importaciones Marítimas (ADUANATRACK)</t>
  </si>
  <si>
    <t xml:space="preserve">Código de Proyecto</t>
  </si>
  <si>
    <t xml:space="preserve">PROY-ADU-2026-01 | Grupo 2</t>
  </si>
  <si>
    <t xml:space="preserve">Docente Asignado</t>
  </si>
  <si>
    <t xml:space="preserve">Mg. Juan Manuel Huapalla García (jhuapalla@usmp.pe / jhuapallag@usmp.pe)</t>
  </si>
  <si>
    <t xml:space="preserve">Hito Actual</t>
  </si>
  <si>
    <t xml:space="preserve">Semana 7 — Planificación del Sprint 1 (Sprint Planning)</t>
  </si>
  <si>
    <t xml:space="preserve">Temporalidad Sprint 1</t>
  </si>
  <si>
    <t xml:space="preserve">Semanas 7 a 9 (3 semanas = 15 días hábiles)</t>
  </si>
  <si>
    <t xml:space="preserve">Técnica de Priorización</t>
  </si>
  <si>
    <t xml:space="preserve">Valor estratégico priorizado + Planning Poker (escala Fibonacci) + Grafo de Dependencias</t>
  </si>
  <si>
    <t xml:space="preserve">Product Owner (PO)</t>
  </si>
  <si>
    <t xml:space="preserve">Altamirano Zuñiga, Juan Diego (Product Owner)</t>
  </si>
  <si>
    <t xml:space="preserve">Scrum Master (SM)</t>
  </si>
  <si>
    <t xml:space="preserve">Tipian Jacobo, Alvaro Gustavo (Scrum Master)</t>
  </si>
  <si>
    <t xml:space="preserve">Developers del Equipo</t>
  </si>
  <si>
    <t xml:space="preserve">Linares Estivariz, Kiara Leticia (Frontend); Ponce Simeón, Patrick Vossler (Backend); Saavedra García, Fabio Enrique (Backend/DevOps)</t>
  </si>
  <si>
    <t xml:space="preserve">OBJETIVO DEL SPRINT 1 (SPRINT GOAL) — SEMANAS 7 A 10</t>
  </si>
  <si>
    <t xml:space="preserve">«Habilitar el flujo base de apertura y seguimiento inicial de despachos de importación marítima: acceso seguro al sistema, registro de clientes/importadores, apertura de un nuevo despacho y registro de la información de embarque (BL), con visibilidad centralizada del estado de los despachos en el Dashboard».</t>
  </si>
  <si>
    <t xml:space="preserve">HISTORIAS SPRINT 1</t>
  </si>
  <si>
    <t xml:space="preserve">PUNTOS DE HISTORIA</t>
  </si>
  <si>
    <t xml:space="preserve">CAPACIDAD NETA</t>
  </si>
  <si>
    <t xml:space="preserve">TAREAS TÉCNICAS</t>
  </si>
  <si>
    <t xml:space="preserve">5 HUs</t>
  </si>
  <si>
    <t xml:space="preserve">23 SP</t>
  </si>
  <si>
    <t xml:space="preserve">~101 Horas</t>
  </si>
  <si>
    <t xml:space="preserve">31 Tasks</t>
  </si>
  <si>
    <t xml:space="preserve">HU-01, HU-04, HU-03, HU-02, HU-05</t>
  </si>
  <si>
    <t xml:space="preserve">27.1% del Product Backlog</t>
  </si>
  <si>
    <t xml:space="preserve">3 desarrolladores x ~34h netas</t>
  </si>
  <si>
    <t xml:space="preserve">Descomposición SMART</t>
  </si>
  <si>
    <t xml:space="preserve">HERRAMIENTAS CASE CONFIGURADAS Y DIRECTIVAS DEL DOCENTE</t>
  </si>
  <si>
    <t xml:space="preserve">Tablero Kanban</t>
  </si>
  <si>
    <t xml:space="preserve">Jira Software / Trello con flujo de 7 estados (Backlog, To Do, In Progress, Review, QA, Scan, Done).</t>
  </si>
  <si>
    <t xml:space="preserve">Docente invitado a tablero: jhuapallag@usmp.pe</t>
  </si>
  <si>
    <t xml:space="preserve">Control de Versiones</t>
  </si>
  <si>
    <t xml:space="preserve">Repositorio GitHub con arquitectura GitFlow (main, develop, ramas feature/HU-XX).</t>
  </si>
  <si>
    <t xml:space="preserve">Docente invitado a repo: jhuapalla@usmp.pe</t>
  </si>
  <si>
    <t xml:space="preserve">Escaneo de Vulnerabilidades</t>
  </si>
  <si>
    <t xml:space="preserve">SonarQube Cloud y Snyk integrados en GitHub Actions (Quality Gate: 0 críticos).</t>
  </si>
  <si>
    <t xml:space="preserve">Reporte final y correcciones programadas para Semana 9</t>
  </si>
  <si>
    <t xml:space="preserve">Ceremonias Daily Scrum</t>
  </si>
  <si>
    <t xml:space="preserve">Video semanal obligatorio de la reunión Daily Scrum (no reunión diaria presencial).</t>
  </si>
  <si>
    <t xml:space="preserve">Videos subidos en Semana 7, 8 y 9</t>
  </si>
  <si>
    <t xml:space="preserve">PRODUCT BACKLOG GENERAL PRIORIZADO — PROYECTO ADUANATRACK (85 STORY POINTS)</t>
  </si>
  <si>
    <t xml:space="preserve">ID</t>
  </si>
  <si>
    <t xml:space="preserve">Historia de Usuario</t>
  </si>
  <si>
    <t xml:space="preserve">Rol (Como...)</t>
  </si>
  <si>
    <t xml:space="preserve">Necesidad (Quiero...)</t>
  </si>
  <si>
    <t xml:space="preserve">Beneficio (Para...)</t>
  </si>
  <si>
    <t xml:space="preserve">Puntos (SP)</t>
  </si>
  <si>
    <t xml:space="preserve">Valor (1-10)</t>
  </si>
  <si>
    <t xml:space="preserve">Prioridad Original</t>
  </si>
  <si>
    <t xml:space="preserve">Técnica MoSCoW</t>
  </si>
  <si>
    <t xml:space="preserve">Cuadrante Matriz</t>
  </si>
  <si>
    <t xml:space="preserve">Dependencia Obligatoria</t>
  </si>
  <si>
    <t xml:space="preserve">Sprint Asignado</t>
  </si>
  <si>
    <t xml:space="preserve">Criterios Aceptación Gherkin</t>
  </si>
  <si>
    <t xml:space="preserve">HU-01</t>
  </si>
  <si>
    <t xml:space="preserve">Inicio de sesión al sistema</t>
  </si>
  <si>
    <t xml:space="preserve">Usuario del sistema (Agente/Admin/Cliente)</t>
  </si>
  <si>
    <t xml:space="preserve">Autenticarme con usuario y contraseña con protección de intentos</t>
  </si>
  <si>
    <t xml:space="preserve">Acceder de forma segura a las funciones correspondientes a mi rol</t>
  </si>
  <si>
    <t xml:space="preserve">Crítica</t>
  </si>
  <si>
    <t xml:space="preserve">Must Have</t>
  </si>
  <si>
    <t xml:space="preserve">Quick Win</t>
  </si>
  <si>
    <t xml:space="preserve">Ninguna</t>
  </si>
  <si>
    <t xml:space="preserve">Sprint 1</t>
  </si>
  <si>
    <t xml:space="preserve">Dado usuario registrado, cuando ingresa credenciales válidas, entonces accede al sistema. Bloqueo al 3er fallo.</t>
  </si>
  <si>
    <t xml:space="preserve">HU-02</t>
  </si>
  <si>
    <t xml:space="preserve">Panel de seguimiento de despachos (Dashboard)</t>
  </si>
  <si>
    <t xml:space="preserve">Agente de aduana</t>
  </si>
  <si>
    <t xml:space="preserve">Visualizar un panel general con el estado de todos los despachos</t>
  </si>
  <si>
    <t xml:space="preserve">Monitorear el avance global de operaciones e identificar alertas</t>
  </si>
  <si>
    <t xml:space="preserve">Alta</t>
  </si>
  <si>
    <t xml:space="preserve">Should Have</t>
  </si>
  <si>
    <t xml:space="preserve">Estratégico Core</t>
  </si>
  <si>
    <t xml:space="preserve">Dado despachos registrados, cuando carga el dashboard, entonces muestra métricas resumen y listado paginado con filtros.</t>
  </si>
  <si>
    <t xml:space="preserve">HU-03</t>
  </si>
  <si>
    <t xml:space="preserve">Registro de nuevo despacho de importación</t>
  </si>
  <si>
    <t xml:space="preserve">Registrar un nuevo despacho de importación marítima para un cliente</t>
  </si>
  <si>
    <t xml:space="preserve">Iniciar formalmente el expediente operativo con código correlativo</t>
  </si>
  <si>
    <t xml:space="preserve">HU-04</t>
  </si>
  <si>
    <t xml:space="preserve">Dado importador seleccionado, cuando completa datos de régimen y aduana, entonces genera código DSP-2026-XXXX en estado Aperturado.</t>
  </si>
  <si>
    <t xml:space="preserve">Registro de datos del importador (cliente)</t>
  </si>
  <si>
    <t xml:space="preserve">Administrador o agente de aduana</t>
  </si>
  <si>
    <t xml:space="preserve">Registrar y mantener actualizados los datos del cliente importador</t>
  </si>
  <si>
    <t xml:space="preserve">Vincular al importador a sus despachos y agilizar contacto</t>
  </si>
  <si>
    <t xml:space="preserve">Dado formulario de importador, cuando ingresa RUC de 11 dígitos válido, entonces valida duplicados y guarda razón social.</t>
  </si>
  <si>
    <t xml:space="preserve">HU-05</t>
  </si>
  <si>
    <t xml:space="preserve">Registro de información del embarque marítimo (BL)</t>
  </si>
  <si>
    <t xml:space="preserve">Registrar información de embarque y conocimiento de embarque (BL)</t>
  </si>
  <si>
    <t xml:space="preserve">Controlar nave, viaje, puerto, fechas y contenedores asignados</t>
  </si>
  <si>
    <t xml:space="preserve">Dado despacho aperturado, cuando ingresa BL, naviera y contenedores FCL/LCL, entonces valida que fecha zarpe sea anterior a arribo.</t>
  </si>
  <si>
    <t xml:space="preserve">HU-06</t>
  </si>
  <si>
    <t xml:space="preserve">Carga y gestión de documentos del despacho</t>
  </si>
  <si>
    <t xml:space="preserve">Cargar y gestionar documentos digitales requeridos (PDF)</t>
  </si>
  <si>
    <t xml:space="preserve">Contar con expediente digital completo antes de numerar la DAM</t>
  </si>
  <si>
    <t xml:space="preserve">Sprint 2</t>
  </si>
  <si>
    <t xml:space="preserve">Dado despacho con BL, cuando sube PDF (Factura, Packing List, BL), entonces valida tipo MIME, peso &lt;= 10MB y actualiza estado documental.</t>
  </si>
  <si>
    <t xml:space="preserve">HU-07</t>
  </si>
  <si>
    <t xml:space="preserve">Registro de clasificación arancelaria de mercancías</t>
  </si>
  <si>
    <t xml:space="preserve">Analista de comercio exterior</t>
  </si>
  <si>
    <t xml:space="preserve">Registrar subpartida nacional y descripción arancelaria por ítem</t>
  </si>
  <si>
    <t xml:space="preserve">Determinar base imponible y alícuotas tributarias aplicables</t>
  </si>
  <si>
    <t xml:space="preserve">Dado expediente documentado, cuando ingresa partida de 10 dígitos, entonces valida arancel aduanero vigente.</t>
  </si>
  <si>
    <t xml:space="preserve">HU-08</t>
  </si>
  <si>
    <t xml:space="preserve">Cálculo de tributos y liquidación aduanera</t>
  </si>
  <si>
    <t xml:space="preserve">Calcular referencialmente los tributos aduaneros (Ad-Valorem, IGV, IPM)</t>
  </si>
  <si>
    <t xml:space="preserve">Informar al importador el monto exacto a liquidar ante SUNAT</t>
  </si>
  <si>
    <t xml:space="preserve">Dado partidas y valor CIF, cuando ejecuta liquidación, entonces calcula tributos referenciales desglosados en USD y PEN.</t>
  </si>
  <si>
    <t xml:space="preserve">HU-09</t>
  </si>
  <si>
    <t xml:space="preserve">Registro manual de la numeración de la DAM</t>
  </si>
  <si>
    <t xml:space="preserve">Registrar manualmente el número de DAM generado en SUNAT con Clave SOL</t>
  </si>
  <si>
    <t xml:space="preserve">Dejar constancia formal de la oficialización del despacho</t>
  </si>
  <si>
    <t xml:space="preserve">Dado tributos pagados, cuando ingresa DAM (118-2026-10-XXXXXX), entonces cambia estado a 'Numerado'.</t>
  </si>
  <si>
    <t xml:space="preserve">HU-10</t>
  </si>
  <si>
    <t xml:space="preserve">Registro y seguimiento del canal de control asignado</t>
  </si>
  <si>
    <t xml:space="preserve">Registrar canal informado por SUNAT (Verde, Naranja, Rojo)</t>
  </si>
  <si>
    <t xml:space="preserve">Activar la línea de tiempo y planificar citas según canal</t>
  </si>
  <si>
    <t xml:space="preserve">Dado despacho numerado, cuando selecciona canal asignado por SUNAT, entonces actualiza hitos y plazos de almacenaje.</t>
  </si>
  <si>
    <t xml:space="preserve">HU-11</t>
  </si>
  <si>
    <t xml:space="preserve">Registro de citas en depósito temporal o almacén</t>
  </si>
  <si>
    <t xml:space="preserve">Registrar cita confirmada en plataforma del depósito temporal</t>
  </si>
  <si>
    <t xml:space="preserve">Coordinar fecha y turno para inspección física o retiro de carga</t>
  </si>
  <si>
    <t xml:space="preserve">Sprint 3</t>
  </si>
  <si>
    <t xml:space="preserve">Dado canal naranja/rojo, cuando ingresa depósito y ticket de cita, entonces fija fecha de inspección en almacén.</t>
  </si>
  <si>
    <t xml:space="preserve">HU-12</t>
  </si>
  <si>
    <t xml:space="preserve">Registro del resultado de la inspección aduanera</t>
  </si>
  <si>
    <t xml:space="preserve">Registrar resultado de inspección física/documentaria con checklist</t>
  </si>
  <si>
    <t xml:space="preserve">Dejar constancia de diligencia conforme o registrar observaciones</t>
  </si>
  <si>
    <t xml:space="preserve">Dado cita realizada, cuando completa checklist de inspección, entonces guarda estado Conforme u Observado.</t>
  </si>
  <si>
    <t xml:space="preserve">HU-13</t>
  </si>
  <si>
    <t xml:space="preserve">Registro manual del levante de mercancía</t>
  </si>
  <si>
    <t xml:space="preserve">Registrar levante otorgado por SUNAT y adjuntar constancia PDF</t>
  </si>
  <si>
    <t xml:space="preserve">Habilitar la coordinación de retiro de mercancía del almacén</t>
  </si>
  <si>
    <t xml:space="preserve">Dado inspección conforme, cuando ingresa código de autorización SUNAT y sube PDF, entonces estado pasa a 'Levante Otorgado'.</t>
  </si>
  <si>
    <t xml:space="preserve">HU-14</t>
  </si>
  <si>
    <t xml:space="preserve">Notificaciones y alertas de estado del despacho</t>
  </si>
  <si>
    <t xml:space="preserve">Agente de aduana y cliente importador</t>
  </si>
  <si>
    <t xml:space="preserve">Recibir alertas sobre vencimiento de almacenaje o cambio de canal</t>
  </si>
  <si>
    <t xml:space="preserve">Actuar oportunamente para evitar sobrecostos y demoras</t>
  </si>
  <si>
    <t xml:space="preserve">Complementaria</t>
  </si>
  <si>
    <t xml:space="preserve">Dado despacho en tránsito/almacén, cuando faltan 3 días para vencimiento de almacenaje, entonces genera alerta crítica.</t>
  </si>
  <si>
    <t xml:space="preserve">HU-15</t>
  </si>
  <si>
    <t xml:space="preserve">Reportes e indicadores de gestión aduanera</t>
  </si>
  <si>
    <t xml:space="preserve">Jefe de operaciones o administrador</t>
  </si>
  <si>
    <t xml:space="preserve">Visualizar indicadores de gestión (tiempo promedio, canales, despachos)</t>
  </si>
  <si>
    <t xml:space="preserve">Tomar decisiones basadas en datos para optimizar tiempos del despacho</t>
  </si>
  <si>
    <t xml:space="preserve">Media</t>
  </si>
  <si>
    <t xml:space="preserve">Could Have</t>
  </si>
  <si>
    <t xml:space="preserve">Postergable</t>
  </si>
  <si>
    <t xml:space="preserve">HU-02, HU-10</t>
  </si>
  <si>
    <t xml:space="preserve">Dado rango de fechas, cuando aplica filtros, entonces genera KPIs y permite exportar reporte ejecutivo en Excel y PDF.</t>
  </si>
  <si>
    <t xml:space="preserve">TOTAL PRODUCT BACKLOG (15 HISTORIAS DE USUARIO)</t>
  </si>
  <si>
    <t xml:space="preserve">Sprint 1: 23 SP (5 HUs) | Sprint 2: 34 SP (5 HUs) | Sprint 3: 28 SP (5 HUs)</t>
  </si>
  <si>
    <t xml:space="preserve">CÁLCULO DE CAPACIDAD Y VELOCIDAD DEL SCRUM TEAM — SPRINT 1 (SEMANAS 7 A 10)</t>
  </si>
  <si>
    <t xml:space="preserve">Integrante</t>
  </si>
  <si>
    <t xml:space="preserve">Rol Scrum</t>
  </si>
  <si>
    <t xml:space="preserve">Semanas Sprint</t>
  </si>
  <si>
    <t xml:space="preserve">Días Hábiles</t>
  </si>
  <si>
    <t xml:space="preserve">Horas/Semana</t>
  </si>
  <si>
    <t xml:space="preserve">Horas Brutas</t>
  </si>
  <si>
    <t xml:space="preserve">Ceremonias Scrum (h)</t>
  </si>
  <si>
    <t xml:space="preserve">Buffer Imprevistos (10%)</t>
  </si>
  <si>
    <t xml:space="preserve">Capacidad Neta (Dev)</t>
  </si>
  <si>
    <t xml:space="preserve">Linares Estivariz, Kiara Leticia</t>
  </si>
  <si>
    <t xml:space="preserve">Developer / Frontend</t>
  </si>
  <si>
    <t xml:space="preserve">Ponce Simeón, Patrick Vossler</t>
  </si>
  <si>
    <t xml:space="preserve">Developer / Backend</t>
  </si>
  <si>
    <t xml:space="preserve">Saavedra García, Fabio Enrique</t>
  </si>
  <si>
    <t xml:space="preserve">Developer / Backend-DevOps</t>
  </si>
  <si>
    <t xml:space="preserve">TOTAL CAPACIDAD SCRUM TEAM</t>
  </si>
  <si>
    <t xml:space="preserve">BALANCE DE CARGA vs. CAPACIDAD DEL SPRINT 1</t>
  </si>
  <si>
    <t xml:space="preserve">Capacidad Neta Disponible del Equipo (Horas)</t>
  </si>
  <si>
    <t xml:space="preserve">Horas efectivas para desarrollo</t>
  </si>
  <si>
    <t xml:space="preserve">Horas Totales de Tareas Estimadas (Sprint Backlog)</t>
  </si>
  <si>
    <t xml:space="preserve">Suma de las 31 tareas SMART planificadas</t>
  </si>
  <si>
    <t xml:space="preserve">Diferencia / Balance Horario</t>
  </si>
  <si>
    <t xml:space="preserve">Margen de holgura operativa (+/-)</t>
  </si>
  <si>
    <t xml:space="preserve">Factor de Ocupación / Compromiso</t>
  </si>
  <si>
    <t xml:space="preserve">Relación Horas Estimadas / Capacidad Neta</t>
  </si>
  <si>
    <t xml:space="preserve">Puntos de Historia Comprometidos</t>
  </si>
  <si>
    <t xml:space="preserve">23 Story Points para Sprint 1 (5 historias)</t>
  </si>
  <si>
    <t xml:space="preserve">Velocidad Proyectada por Semana</t>
  </si>
  <si>
    <t xml:space="preserve">Story Points promedio por semana (~7.7 SP/sem)</t>
  </si>
  <si>
    <t xml:space="preserve">SPRINT BACKLOG TÉCNICO — SPRINT 1 (31 TAREAS SMART / 109 HORAS / 23 SP)</t>
  </si>
  <si>
    <t xml:space="preserve">ID Tarea</t>
  </si>
  <si>
    <t xml:space="preserve">HU Asociada</t>
  </si>
  <si>
    <t xml:space="preserve">Tipo Componente</t>
  </si>
  <si>
    <t xml:space="preserve">Descripción Técnica SMART de la Tarea</t>
  </si>
  <si>
    <t xml:space="preserve">Horas Est.</t>
  </si>
  <si>
    <t xml:space="preserve">Horas Real</t>
  </si>
  <si>
    <t xml:space="preserve">Horas Rest.</t>
  </si>
  <si>
    <t xml:space="preserve">Responsable Asignado</t>
  </si>
  <si>
    <t xml:space="preserve">Estado Kanban</t>
  </si>
  <si>
    <t xml:space="preserve">DoD Validado</t>
  </si>
  <si>
    <t xml:space="preserve">T-00.1</t>
  </si>
  <si>
    <t xml:space="preserve">SETUP</t>
  </si>
  <si>
    <t xml:space="preserve">DevOps</t>
  </si>
  <si>
    <t xml:space="preserve">Configuración del repositorio Git (GitHub/GitLab), convención de ramas por historia, acceso del docente (jhuapalla@usmp.pe)</t>
  </si>
  <si>
    <t xml:space="preserve">Fabio Saavedra</t>
  </si>
  <si>
    <t xml:space="preserve">Por Hacer</t>
  </si>
  <si>
    <t xml:space="preserve">No</t>
  </si>
  <si>
    <t xml:space="preserve">T-00.2</t>
  </si>
  <si>
    <t xml:space="preserve">CASE</t>
  </si>
  <si>
    <t xml:space="preserve">Configuración del tablero Kanban (To Do / In Progress / Review / Done), acceso del docente (jhuapallag@usmp.pe)</t>
  </si>
  <si>
    <t xml:space="preserve">Alvaro Tipian</t>
  </si>
  <si>
    <t xml:space="preserve">T-00.3</t>
  </si>
  <si>
    <t xml:space="preserve">Configuración de contenedores (app + base de datos)</t>
  </si>
  <si>
    <t xml:space="preserve">Patrick Ponce</t>
  </si>
  <si>
    <t xml:space="preserve">T-00.4</t>
  </si>
  <si>
    <t xml:space="preserve">Base Datos</t>
  </si>
  <si>
    <t xml:space="preserve">Creación de la base de datos relacional (esquema inicial: usuarios, clientes, despachos, embarques)</t>
  </si>
  <si>
    <t xml:space="preserve">T-00.5</t>
  </si>
  <si>
    <t xml:space="preserve">Calidad</t>
  </si>
  <si>
    <t xml:space="preserve">Pipeline básico de CI (build + pruebas automáticas)</t>
  </si>
  <si>
    <t xml:space="preserve">T-00.6</t>
  </si>
  <si>
    <t xml:space="preserve">Ejecución de herramienta de escaneo de vulnerabilidades sobre el código del sprint + informe de hallazgos y correcciones</t>
  </si>
  <si>
    <t xml:space="preserve">T-01.1</t>
  </si>
  <si>
    <t xml:space="preserve">Backend</t>
  </si>
  <si>
    <t xml:space="preserve">Endpoint de autenticación + bloqueo tras 3 intentos fallidos (15 min)</t>
  </si>
  <si>
    <t xml:space="preserve">T-01.2</t>
  </si>
  <si>
    <t xml:space="preserve">Registro de intentos de acceso en log de auditoría</t>
  </si>
  <si>
    <t xml:space="preserve">T-01.3</t>
  </si>
  <si>
    <t xml:space="preserve">Frontend</t>
  </si>
  <si>
    <t xml:space="preserve">Pantalla de login: validaciones, checkbox “Recordarme” (sesión 8h)</t>
  </si>
  <si>
    <t xml:space="preserve">Kiara Linares</t>
  </si>
  <si>
    <t xml:space="preserve">T-01.4</t>
  </si>
  <si>
    <t xml:space="preserve">QA</t>
  </si>
  <si>
    <t xml:space="preserve">Pruebas de los 4 criterios de aceptación de HU-01</t>
  </si>
  <si>
    <t xml:space="preserve">T-04.1</t>
  </si>
  <si>
    <t xml:space="preserve">Modelo de datos Cliente/Importador + validación de RUC (11 dígitos)</t>
  </si>
  <si>
    <t xml:space="preserve">T-04.2</t>
  </si>
  <si>
    <t xml:space="preserve">Carga de carta poder (PDF) + alerta automática 15 días antes del vencimiento</t>
  </si>
  <si>
    <t xml:space="preserve">T-04.3</t>
  </si>
  <si>
    <t xml:space="preserve">Historial de cambios del cliente (auditoría)</t>
  </si>
  <si>
    <t xml:space="preserve">T-04.4</t>
  </si>
  <si>
    <t xml:space="preserve">Formulario de alta/edición de cliente + detección de duplicados</t>
  </si>
  <si>
    <t xml:space="preserve">T-04.5</t>
  </si>
  <si>
    <t xml:space="preserve">Pruebas de los 4 criterios de aceptación de HU-04</t>
  </si>
  <si>
    <t xml:space="preserve">T-03.1</t>
  </si>
  <si>
    <t xml:space="preserve">Generación automática de N° de despacho (formato DESP-AAAA-####)</t>
  </si>
  <si>
    <t xml:space="preserve">T-03.2</t>
  </si>
  <si>
    <t xml:space="preserve">Listas maestras de régimen aduanero y aduana de destino</t>
  </si>
  <si>
    <t xml:space="preserve">T-03.3</t>
  </si>
  <si>
    <t xml:space="preserve">Validación de carta poder vigente del cliente al guardar</t>
  </si>
  <si>
    <t xml:space="preserve">T-03.4</t>
  </si>
  <si>
    <t xml:space="preserve">Formulario “Datos generales del despacho” + “Guardar como borrador”</t>
  </si>
  <si>
    <t xml:space="preserve">T-03.5</t>
  </si>
  <si>
    <t xml:space="preserve">Estado inicial “Apertura” visible en la UI del despacho</t>
  </si>
  <si>
    <t xml:space="preserve">T-03.6</t>
  </si>
  <si>
    <t xml:space="preserve">Pruebas de los 4 criterios de aceptación de HU-03</t>
  </si>
  <si>
    <t xml:space="preserve">T-02.1</t>
  </si>
  <si>
    <t xml:space="preserve">Endpoints de indicadores (activos, canal naranja/rojo, levante, alertas)</t>
  </si>
  <si>
    <t xml:space="preserve">T-02.2</t>
  </si>
  <si>
    <t xml:space="preserve">Filtro por aduana/cliente + exportar tabla a Excel</t>
  </si>
  <si>
    <t xml:space="preserve">T-02.3</t>
  </si>
  <si>
    <t xml:space="preserve">Panel de indicadores + tabla “Despachos recientes” ordenada por ETA</t>
  </si>
  <si>
    <t xml:space="preserve">T-02.4</t>
  </si>
  <si>
    <t xml:space="preserve">Navegación desde la tabla al detalle del despacho</t>
  </si>
  <si>
    <t xml:space="preserve">T-02.5</t>
  </si>
  <si>
    <t xml:space="preserve">Pruebas de los 4 criterios de aceptación de HU-02</t>
  </si>
  <si>
    <t xml:space="preserve">T-05.1</t>
  </si>
  <si>
    <t xml:space="preserve">Modelo Embarque/BL + asociación al despacho</t>
  </si>
  <si>
    <t xml:space="preserve">T-05.2</t>
  </si>
  <si>
    <t xml:space="preserve">Validación de formato de contenedor (estándar ISO 6346)</t>
  </si>
  <si>
    <t xml:space="preserve">T-05.3</t>
  </si>
  <si>
    <t xml:space="preserve">Recálculo automático del plazo de almacenaje al cambiar la fecha ETA + alerta</t>
  </si>
  <si>
    <t xml:space="preserve">T-05.4</t>
  </si>
  <si>
    <t xml:space="preserve">Formulario de embarque + tabla de contenedores (múltiples por despacho)</t>
  </si>
  <si>
    <t xml:space="preserve">T-05.5</t>
  </si>
  <si>
    <t xml:space="preserve">Pruebas de los 4 criterios de aceptación de HU-05</t>
  </si>
  <si>
    <t xml:space="preserve">TOTAL GENERAL SPRINT BACKLOG (31 TAREAS TÉCNICAS)</t>
  </si>
  <si>
    <t xml:space="preserve">Avance Inicial: 0h ejecutadas (Sprint no iniciado) | 109h restantes</t>
  </si>
  <si>
    <t xml:space="preserve">SEGUIMIENTO DIARIO Y BURNDOWN CHART — SPRINT 1 (15 DÍAS HÁBILES)</t>
  </si>
  <si>
    <t xml:space="preserve">Día del Sprint</t>
  </si>
  <si>
    <t xml:space="preserve">Semana Académica</t>
  </si>
  <si>
    <t xml:space="preserve">Hito / Evento Scrum</t>
  </si>
  <si>
    <t xml:space="preserve">Horas Ideales Restantes</t>
  </si>
  <si>
    <t xml:space="preserve">Horas Reales Restantes</t>
  </si>
  <si>
    <t xml:space="preserve">Story Points Restantes</t>
  </si>
  <si>
    <t xml:space="preserve">Video Daily / Evidencia</t>
  </si>
  <si>
    <t xml:space="preserve">Día 1</t>
  </si>
  <si>
    <t xml:space="preserve">Semana 7</t>
  </si>
  <si>
    <t xml:space="preserve">Sprint Planning 1 (Ceremonia) &amp; Setup Repositorio/Kanban/BD</t>
  </si>
  <si>
    <t xml:space="preserve">Grabación Daily #1 (Arranque)</t>
  </si>
  <si>
    <t xml:space="preserve">Día 2</t>
  </si>
  <si>
    <t xml:space="preserve">Daily Scrum: asignación de tareas T-01.x (HU-01 Login)</t>
  </si>
  <si>
    <t xml:space="preserve">Día 3</t>
  </si>
  <si>
    <t xml:space="preserve">Daily Scrum: desarrollo de endpoint de autenticación y logs de auditoría</t>
  </si>
  <si>
    <t xml:space="preserve">Día 4</t>
  </si>
  <si>
    <t xml:space="preserve">Daily Scrum: pantalla de login e inicio de HU-04 (Cliente)</t>
  </si>
  <si>
    <t xml:space="preserve">Día 5</t>
  </si>
  <si>
    <t xml:space="preserve">Daily Scrum: pruebas de HU-01 y HU-04 (ambas Done)</t>
  </si>
  <si>
    <t xml:space="preserve">Cierre Video S7</t>
  </si>
  <si>
    <t xml:space="preserve">Día 6</t>
  </si>
  <si>
    <t xml:space="preserve">Semana 8</t>
  </si>
  <si>
    <t xml:space="preserve">Daily Scrum: inicio de HU-03 (Nuevo despacho), depende de HU-04</t>
  </si>
  <si>
    <t xml:space="preserve">Grabación Daily #2 (Avance)</t>
  </si>
  <si>
    <t xml:space="preserve">Día 7</t>
  </si>
  <si>
    <t xml:space="preserve">Daily Scrum: generación de correlativo de despacho y listas maestras</t>
  </si>
  <si>
    <t xml:space="preserve">Día 8</t>
  </si>
  <si>
    <t xml:space="preserve">Daily Scrum: formulario de despacho y validación de carta poder</t>
  </si>
  <si>
    <t xml:space="preserve">Día 9</t>
  </si>
  <si>
    <t xml:space="preserve">Daily Scrum: pruebas de HU-03 (Done)</t>
  </si>
  <si>
    <t xml:space="preserve">Día 10</t>
  </si>
  <si>
    <t xml:space="preserve">Daily Scrum: inicio de HU-02 (Dashboard), depende de HU-01</t>
  </si>
  <si>
    <t xml:space="preserve">Cierre Video S8</t>
  </si>
  <si>
    <t xml:space="preserve">Día 11</t>
  </si>
  <si>
    <t xml:space="preserve">Semana 9</t>
  </si>
  <si>
    <t xml:space="preserve">Daily Scrum: indicadores, filtros y pruebas de HU-02 (Done)</t>
  </si>
  <si>
    <t xml:space="preserve">Grabación Daily #3 (Cierre)</t>
  </si>
  <si>
    <t xml:space="preserve">Día 12</t>
  </si>
  <si>
    <t xml:space="preserve">Daily Scrum: inicio de HU-05 (Embarque/BL), depende de HU-03</t>
  </si>
  <si>
    <t xml:space="preserve">Día 13</t>
  </si>
  <si>
    <t xml:space="preserve">Daily Scrum: validación ISO 6346 y recálculo de plazo de almacenaje</t>
  </si>
  <si>
    <t xml:space="preserve">Día 14</t>
  </si>
  <si>
    <t xml:space="preserve">Daily Scrum: formulario de embarque y pruebas de HU-05 (Done)</t>
  </si>
  <si>
    <t xml:space="preserve">Cierre Video S9</t>
  </si>
  <si>
    <t xml:space="preserve">Día 15</t>
  </si>
  <si>
    <t xml:space="preserve">Ejecución de SonarQube/Snyk, Sprint Review, Retrospective y Demostración Final</t>
  </si>
  <si>
    <t xml:space="preserve">Reporte Vulnerabilidades + Demo &amp; Cierre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</si>
</sst>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0%"/>
    <numFmt numFmtId="168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B365D"/>
      <name val="Calibri"/>
      <family val="0"/>
      <charset val="1"/>
    </font>
    <font>
      <b val="true"/>
      <sz val="10"/>
      <color rgb="FF265C74"/>
      <name val="Calibri"/>
      <family val="0"/>
      <charset val="1"/>
    </font>
    <font>
      <b val="true"/>
      <sz val="14"/>
      <color rgb="FF1B365D"/>
      <name val="Calibri"/>
      <family val="0"/>
      <charset val="1"/>
    </font>
    <font>
      <b val="true"/>
      <sz val="10"/>
      <color rgb="FF1B365D"/>
      <name val="Calibri"/>
      <family val="0"/>
      <charset val="1"/>
    </font>
    <font>
      <sz val="10"/>
      <color rgb="FF22222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i val="true"/>
      <sz val="11"/>
      <color rgb="FF1B365D"/>
      <name val="Calibri"/>
      <family val="0"/>
      <charset val="1"/>
    </font>
    <font>
      <b val="true"/>
      <sz val="9"/>
      <color rgb="FF666666"/>
      <name val="Calibri"/>
      <family val="0"/>
      <charset val="1"/>
    </font>
    <font>
      <i val="true"/>
      <sz val="8.5"/>
      <color rgb="FF555555"/>
      <name val="Calibri"/>
      <family val="0"/>
      <charset val="1"/>
    </font>
    <font>
      <b val="true"/>
      <sz val="9.5"/>
      <color rgb="FF265C74"/>
      <name val="Calibri"/>
      <family val="0"/>
      <charset val="1"/>
    </font>
    <font>
      <b val="true"/>
      <sz val="10"/>
      <color rgb="FF222222"/>
      <name val="Calibri"/>
      <family val="0"/>
      <charset val="1"/>
    </font>
    <font>
      <i val="true"/>
      <sz val="9.5"/>
      <color rgb="FF555555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9E6ED"/>
        <bgColor rgb="FFD4EDDA"/>
      </patternFill>
    </fill>
    <fill>
      <patternFill patternType="solid">
        <fgColor rgb="FF1B365D"/>
        <bgColor rgb="FF222222"/>
      </patternFill>
    </fill>
    <fill>
      <patternFill patternType="solid">
        <fgColor rgb="FFE8F1F5"/>
        <bgColor rgb="FFD9E6ED"/>
      </patternFill>
    </fill>
    <fill>
      <patternFill patternType="solid">
        <fgColor rgb="FFF9FBFB"/>
        <bgColor rgb="FFFFFFFF"/>
      </patternFill>
    </fill>
    <fill>
      <patternFill patternType="solid">
        <fgColor rgb="FFD4EDDA"/>
        <bgColor rgb="FFD9E6ED"/>
      </patternFill>
    </fill>
    <fill>
      <patternFill patternType="solid">
        <fgColor rgb="FFCCE5FF"/>
        <bgColor rgb="FFD9E6ED"/>
      </patternFill>
    </fill>
    <fill>
      <patternFill patternType="solid">
        <fgColor rgb="FFFFF3CD"/>
        <bgColor rgb="FFF9FBFB"/>
      </patternFill>
    </fill>
    <fill>
      <patternFill patternType="solid">
        <fgColor rgb="FF265C74"/>
        <bgColor rgb="FF55555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 diagonalUp="false" diagonalDown="false">
      <left style="thin">
        <color rgb="FFD0D7DE"/>
      </left>
      <right style="thin">
        <color rgb="FFD0D7DE"/>
      </right>
      <top style="medium">
        <color rgb="FF1B365D"/>
      </top>
      <bottom style="medium">
        <color rgb="FF1B365D"/>
      </bottom>
      <diagonal/>
    </border>
    <border diagonalUp="false" diagonalDown="false">
      <left/>
      <right style="thin">
        <color rgb="FFD0D7DE"/>
      </right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6ED"/>
      <rgbColor rgb="FF808080"/>
      <rgbColor rgb="FF9999FF"/>
      <rgbColor rgb="FF993366"/>
      <rgbColor rgb="FFFFF3CD"/>
      <rgbColor rgb="FFE8F1F5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E5FF"/>
      <rgbColor rgb="FFD4EDDA"/>
      <rgbColor rgb="FFF9FBF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65D"/>
      <rgbColor rgb="FF339966"/>
      <rgbColor rgb="FF003300"/>
      <rgbColor rgb="FF555555"/>
      <rgbColor rgb="FF993300"/>
      <rgbColor rgb="FF993366"/>
      <rgbColor rgb="FF265C74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4"/>
    <col collapsed="false" customWidth="true" hidden="false" outlineLevel="0" max="7" min="4" style="0" width="22"/>
    <col collapsed="false" customWidth="true" hidden="false" outlineLevel="0" max="8" min="8" style="0" width="26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17.35" hidden="false" customHeight="false" outlineLevel="0" collapsed="false">
      <c r="B4" s="3" t="s">
        <v>2</v>
      </c>
      <c r="C4" s="3"/>
      <c r="D4" s="3"/>
      <c r="E4" s="3"/>
      <c r="F4" s="3"/>
      <c r="G4" s="3"/>
      <c r="H4" s="3"/>
    </row>
    <row r="6" customFormat="false" ht="15" hidden="false" customHeight="true" outlineLevel="0" collapsed="false">
      <c r="B6" s="4" t="s">
        <v>3</v>
      </c>
      <c r="C6" s="5" t="s">
        <v>4</v>
      </c>
      <c r="D6" s="5"/>
      <c r="E6" s="5"/>
      <c r="F6" s="5"/>
      <c r="G6" s="5"/>
      <c r="H6" s="5"/>
    </row>
    <row r="7" customFormat="false" ht="15" hidden="false" customHeight="true" outlineLevel="0" collapsed="false">
      <c r="B7" s="4" t="s">
        <v>5</v>
      </c>
      <c r="C7" s="5" t="s">
        <v>6</v>
      </c>
      <c r="D7" s="5"/>
      <c r="E7" s="5"/>
      <c r="F7" s="5"/>
      <c r="G7" s="5"/>
      <c r="H7" s="5"/>
    </row>
    <row r="8" customFormat="false" ht="15" hidden="false" customHeight="true" outlineLevel="0" collapsed="false">
      <c r="B8" s="4" t="s">
        <v>7</v>
      </c>
      <c r="C8" s="5" t="s">
        <v>8</v>
      </c>
      <c r="D8" s="5"/>
      <c r="E8" s="5"/>
      <c r="F8" s="5"/>
      <c r="G8" s="5"/>
      <c r="H8" s="5"/>
    </row>
    <row r="9" customFormat="false" ht="15" hidden="false" customHeight="true" outlineLevel="0" collapsed="false">
      <c r="B9" s="4" t="s">
        <v>9</v>
      </c>
      <c r="C9" s="5" t="s">
        <v>10</v>
      </c>
      <c r="D9" s="5"/>
      <c r="E9" s="5"/>
      <c r="F9" s="5"/>
      <c r="G9" s="5"/>
      <c r="H9" s="5"/>
    </row>
    <row r="10" customFormat="false" ht="15" hidden="false" customHeight="true" outlineLevel="0" collapsed="false">
      <c r="B10" s="4" t="s">
        <v>11</v>
      </c>
      <c r="C10" s="5" t="s">
        <v>12</v>
      </c>
      <c r="D10" s="5"/>
      <c r="E10" s="5"/>
      <c r="F10" s="5"/>
      <c r="G10" s="5"/>
      <c r="H10" s="5"/>
    </row>
    <row r="11" customFormat="false" ht="15" hidden="false" customHeight="true" outlineLevel="0" collapsed="false">
      <c r="B11" s="4" t="s">
        <v>13</v>
      </c>
      <c r="C11" s="5" t="s">
        <v>14</v>
      </c>
      <c r="D11" s="5"/>
      <c r="E11" s="5"/>
      <c r="F11" s="5"/>
      <c r="G11" s="5"/>
      <c r="H11" s="5"/>
    </row>
    <row r="12" customFormat="false" ht="15" hidden="false" customHeight="true" outlineLevel="0" collapsed="false">
      <c r="B12" s="4" t="s">
        <v>15</v>
      </c>
      <c r="C12" s="5" t="s">
        <v>16</v>
      </c>
      <c r="D12" s="5"/>
      <c r="E12" s="5"/>
      <c r="F12" s="5"/>
      <c r="G12" s="5"/>
      <c r="H12" s="5"/>
    </row>
    <row r="13" customFormat="false" ht="15" hidden="false" customHeight="true" outlineLevel="0" collapsed="false">
      <c r="B13" s="4" t="s">
        <v>17</v>
      </c>
      <c r="C13" s="5" t="s">
        <v>18</v>
      </c>
      <c r="D13" s="5"/>
      <c r="E13" s="5"/>
      <c r="F13" s="5"/>
      <c r="G13" s="5"/>
      <c r="H13" s="5"/>
    </row>
    <row r="14" customFormat="false" ht="15" hidden="false" customHeight="true" outlineLevel="0" collapsed="false">
      <c r="B14" s="4" t="s">
        <v>19</v>
      </c>
      <c r="C14" s="5" t="s">
        <v>20</v>
      </c>
      <c r="D14" s="5"/>
      <c r="E14" s="5"/>
      <c r="F14" s="5"/>
      <c r="G14" s="5"/>
      <c r="H14" s="5"/>
    </row>
    <row r="16" customFormat="false" ht="15" hidden="false" customHeight="true" outlineLevel="0" collapsed="false">
      <c r="B16" s="6" t="s">
        <v>21</v>
      </c>
      <c r="C16" s="6"/>
      <c r="D16" s="6"/>
      <c r="E16" s="6"/>
      <c r="F16" s="6"/>
      <c r="G16" s="6"/>
      <c r="H16" s="6"/>
    </row>
    <row r="17" customFormat="false" ht="15" hidden="false" customHeight="true" outlineLevel="0" collapsed="false">
      <c r="B17" s="7" t="s">
        <v>22</v>
      </c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0" collapsed="false">
      <c r="B19" s="7"/>
      <c r="C19" s="7"/>
      <c r="D19" s="7"/>
      <c r="E19" s="7"/>
      <c r="F19" s="7"/>
      <c r="G19" s="7"/>
      <c r="H19" s="7"/>
    </row>
    <row r="21" customFormat="false" ht="15" hidden="false" customHeight="true" outlineLevel="0" collapsed="false">
      <c r="B21" s="8" t="s">
        <v>23</v>
      </c>
      <c r="C21" s="8"/>
      <c r="D21" s="8" t="s">
        <v>24</v>
      </c>
      <c r="E21" s="8"/>
      <c r="F21" s="8" t="s">
        <v>25</v>
      </c>
      <c r="G21" s="8"/>
      <c r="H21" s="8" t="s">
        <v>26</v>
      </c>
    </row>
    <row r="22" customFormat="false" ht="18.65" hidden="false" customHeight="true" outlineLevel="0" collapsed="false">
      <c r="B22" s="9" t="s">
        <v>27</v>
      </c>
      <c r="C22" s="9"/>
      <c r="D22" s="9" t="s">
        <v>28</v>
      </c>
      <c r="E22" s="9"/>
      <c r="F22" s="9" t="s">
        <v>29</v>
      </c>
      <c r="G22" s="9"/>
      <c r="H22" s="9" t="s">
        <v>30</v>
      </c>
    </row>
    <row r="23" customFormat="false" ht="15" hidden="false" customHeight="true" outlineLevel="0" collapsed="false">
      <c r="B23" s="10" t="s">
        <v>31</v>
      </c>
      <c r="C23" s="10"/>
      <c r="D23" s="10" t="s">
        <v>32</v>
      </c>
      <c r="E23" s="10"/>
      <c r="F23" s="10" t="s">
        <v>33</v>
      </c>
      <c r="G23" s="10"/>
      <c r="H23" s="10" t="s">
        <v>34</v>
      </c>
    </row>
    <row r="26" customFormat="false" ht="15" hidden="false" customHeight="true" outlineLevel="0" collapsed="false">
      <c r="B26" s="6" t="s">
        <v>35</v>
      </c>
      <c r="C26" s="6"/>
      <c r="D26" s="6"/>
      <c r="E26" s="6"/>
      <c r="F26" s="6"/>
      <c r="G26" s="6"/>
      <c r="H26" s="6"/>
    </row>
    <row r="27" customFormat="false" ht="23.85" hidden="false" customHeight="true" outlineLevel="0" collapsed="false">
      <c r="B27" s="4" t="s">
        <v>36</v>
      </c>
      <c r="C27" s="5" t="s">
        <v>37</v>
      </c>
      <c r="D27" s="5"/>
      <c r="E27" s="5"/>
      <c r="F27" s="11" t="s">
        <v>38</v>
      </c>
      <c r="G27" s="11"/>
      <c r="H27" s="11"/>
    </row>
    <row r="28" customFormat="false" ht="15" hidden="false" customHeight="true" outlineLevel="0" collapsed="false">
      <c r="B28" s="4" t="s">
        <v>39</v>
      </c>
      <c r="C28" s="5" t="s">
        <v>40</v>
      </c>
      <c r="D28" s="5"/>
      <c r="E28" s="5"/>
      <c r="F28" s="11" t="s">
        <v>41</v>
      </c>
      <c r="G28" s="11"/>
      <c r="H28" s="11"/>
    </row>
    <row r="29" customFormat="false" ht="15" hidden="false" customHeight="true" outlineLevel="0" collapsed="false">
      <c r="B29" s="4" t="s">
        <v>42</v>
      </c>
      <c r="C29" s="5" t="s">
        <v>43</v>
      </c>
      <c r="D29" s="5"/>
      <c r="E29" s="5"/>
      <c r="F29" s="11" t="s">
        <v>44</v>
      </c>
      <c r="G29" s="11"/>
      <c r="H29" s="11"/>
    </row>
    <row r="30" customFormat="false" ht="15" hidden="false" customHeight="true" outlineLevel="0" collapsed="false">
      <c r="B30" s="4" t="s">
        <v>45</v>
      </c>
      <c r="C30" s="5" t="s">
        <v>46</v>
      </c>
      <c r="D30" s="5"/>
      <c r="E30" s="5"/>
      <c r="F30" s="11" t="s">
        <v>47</v>
      </c>
      <c r="G30" s="11"/>
      <c r="H30" s="11"/>
    </row>
  </sheetData>
  <mergeCells count="32">
    <mergeCell ref="B2:H2"/>
    <mergeCell ref="B3:H3"/>
    <mergeCell ref="B4:H4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B16:H16"/>
    <mergeCell ref="B17:H19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6:H26"/>
    <mergeCell ref="C27:E27"/>
    <mergeCell ref="F27:H27"/>
    <mergeCell ref="C28:E28"/>
    <mergeCell ref="F28:H28"/>
    <mergeCell ref="C29:E29"/>
    <mergeCell ref="F29:H29"/>
    <mergeCell ref="C30:E30"/>
    <mergeCell ref="F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38"/>
    <col collapsed="false" customWidth="true" hidden="false" outlineLevel="0" max="5" min="5" style="0" width="36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15"/>
    <col collapsed="false" customWidth="true" hidden="false" outlineLevel="0" max="13" min="13" style="0" width="45"/>
  </cols>
  <sheetData>
    <row r="1" customFormat="false" ht="27.75" hidden="false" customHeight="true" outlineLevel="0" collapsed="false">
      <c r="A1" s="3" t="s">
        <v>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customFormat="false" ht="25.5" hidden="false" customHeight="true" outlineLevel="0" collapsed="false">
      <c r="A3" s="12" t="s">
        <v>49</v>
      </c>
      <c r="B3" s="12" t="s">
        <v>50</v>
      </c>
      <c r="C3" s="12" t="s">
        <v>51</v>
      </c>
      <c r="D3" s="12" t="s">
        <v>52</v>
      </c>
      <c r="E3" s="12" t="s">
        <v>53</v>
      </c>
      <c r="F3" s="12" t="s">
        <v>54</v>
      </c>
      <c r="G3" s="12" t="s">
        <v>55</v>
      </c>
      <c r="H3" s="12" t="s">
        <v>56</v>
      </c>
      <c r="I3" s="12" t="s">
        <v>57</v>
      </c>
      <c r="J3" s="12" t="s">
        <v>58</v>
      </c>
      <c r="K3" s="12" t="s">
        <v>59</v>
      </c>
      <c r="L3" s="12" t="s">
        <v>60</v>
      </c>
      <c r="M3" s="12" t="s">
        <v>61</v>
      </c>
    </row>
    <row r="4" customFormat="false" ht="24" hidden="false" customHeight="true" outlineLevel="0" collapsed="false">
      <c r="A4" s="13" t="s">
        <v>62</v>
      </c>
      <c r="B4" s="14" t="s">
        <v>63</v>
      </c>
      <c r="C4" s="14" t="s">
        <v>64</v>
      </c>
      <c r="D4" s="14" t="s">
        <v>65</v>
      </c>
      <c r="E4" s="14" t="s">
        <v>66</v>
      </c>
      <c r="F4" s="13" t="n">
        <v>3</v>
      </c>
      <c r="G4" s="15" t="n">
        <v>10</v>
      </c>
      <c r="H4" s="15" t="s">
        <v>67</v>
      </c>
      <c r="I4" s="16" t="s">
        <v>68</v>
      </c>
      <c r="J4" s="15" t="s">
        <v>69</v>
      </c>
      <c r="K4" s="15" t="s">
        <v>70</v>
      </c>
      <c r="L4" s="17" t="s">
        <v>71</v>
      </c>
      <c r="M4" s="14" t="s">
        <v>72</v>
      </c>
    </row>
    <row r="5" customFormat="false" ht="24" hidden="false" customHeight="true" outlineLevel="0" collapsed="false">
      <c r="A5" s="18" t="s">
        <v>73</v>
      </c>
      <c r="B5" s="5" t="s">
        <v>74</v>
      </c>
      <c r="C5" s="5" t="s">
        <v>75</v>
      </c>
      <c r="D5" s="5" t="s">
        <v>76</v>
      </c>
      <c r="E5" s="5" t="s">
        <v>77</v>
      </c>
      <c r="F5" s="18" t="n">
        <v>5</v>
      </c>
      <c r="G5" s="19" t="n">
        <v>8</v>
      </c>
      <c r="H5" s="19" t="s">
        <v>78</v>
      </c>
      <c r="I5" s="20" t="s">
        <v>79</v>
      </c>
      <c r="J5" s="19" t="s">
        <v>80</v>
      </c>
      <c r="K5" s="19" t="s">
        <v>62</v>
      </c>
      <c r="L5" s="17" t="s">
        <v>71</v>
      </c>
      <c r="M5" s="5" t="s">
        <v>81</v>
      </c>
    </row>
    <row r="6" customFormat="false" ht="24" hidden="false" customHeight="true" outlineLevel="0" collapsed="false">
      <c r="A6" s="13" t="s">
        <v>82</v>
      </c>
      <c r="B6" s="14" t="s">
        <v>83</v>
      </c>
      <c r="C6" s="14" t="s">
        <v>75</v>
      </c>
      <c r="D6" s="14" t="s">
        <v>84</v>
      </c>
      <c r="E6" s="14" t="s">
        <v>85</v>
      </c>
      <c r="F6" s="13" t="n">
        <v>5</v>
      </c>
      <c r="G6" s="15" t="n">
        <v>10</v>
      </c>
      <c r="H6" s="15" t="s">
        <v>67</v>
      </c>
      <c r="I6" s="16" t="s">
        <v>68</v>
      </c>
      <c r="J6" s="15" t="s">
        <v>80</v>
      </c>
      <c r="K6" s="15" t="s">
        <v>86</v>
      </c>
      <c r="L6" s="17" t="s">
        <v>71</v>
      </c>
      <c r="M6" s="14" t="s">
        <v>87</v>
      </c>
    </row>
    <row r="7" customFormat="false" ht="24" hidden="false" customHeight="true" outlineLevel="0" collapsed="false">
      <c r="A7" s="18" t="s">
        <v>86</v>
      </c>
      <c r="B7" s="5" t="s">
        <v>88</v>
      </c>
      <c r="C7" s="5" t="s">
        <v>89</v>
      </c>
      <c r="D7" s="5" t="s">
        <v>90</v>
      </c>
      <c r="E7" s="5" t="s">
        <v>91</v>
      </c>
      <c r="F7" s="18" t="n">
        <v>5</v>
      </c>
      <c r="G7" s="19" t="n">
        <v>9</v>
      </c>
      <c r="H7" s="19" t="s">
        <v>78</v>
      </c>
      <c r="I7" s="16" t="s">
        <v>68</v>
      </c>
      <c r="J7" s="19" t="s">
        <v>80</v>
      </c>
      <c r="K7" s="19" t="s">
        <v>70</v>
      </c>
      <c r="L7" s="17" t="s">
        <v>71</v>
      </c>
      <c r="M7" s="5" t="s">
        <v>92</v>
      </c>
    </row>
    <row r="8" customFormat="false" ht="24" hidden="false" customHeight="true" outlineLevel="0" collapsed="false">
      <c r="A8" s="13" t="s">
        <v>93</v>
      </c>
      <c r="B8" s="14" t="s">
        <v>94</v>
      </c>
      <c r="C8" s="14" t="s">
        <v>75</v>
      </c>
      <c r="D8" s="14" t="s">
        <v>95</v>
      </c>
      <c r="E8" s="14" t="s">
        <v>96</v>
      </c>
      <c r="F8" s="13" t="n">
        <v>5</v>
      </c>
      <c r="G8" s="15" t="n">
        <v>9</v>
      </c>
      <c r="H8" s="15" t="s">
        <v>78</v>
      </c>
      <c r="I8" s="16" t="s">
        <v>68</v>
      </c>
      <c r="J8" s="15" t="s">
        <v>80</v>
      </c>
      <c r="K8" s="15" t="s">
        <v>82</v>
      </c>
      <c r="L8" s="17" t="s">
        <v>71</v>
      </c>
      <c r="M8" s="14" t="s">
        <v>97</v>
      </c>
    </row>
    <row r="9" customFormat="false" ht="24" hidden="false" customHeight="true" outlineLevel="0" collapsed="false">
      <c r="A9" s="18" t="s">
        <v>98</v>
      </c>
      <c r="B9" s="5" t="s">
        <v>99</v>
      </c>
      <c r="C9" s="5" t="s">
        <v>75</v>
      </c>
      <c r="D9" s="5" t="s">
        <v>100</v>
      </c>
      <c r="E9" s="5" t="s">
        <v>101</v>
      </c>
      <c r="F9" s="18" t="n">
        <v>8</v>
      </c>
      <c r="G9" s="19" t="n">
        <v>10</v>
      </c>
      <c r="H9" s="19" t="s">
        <v>67</v>
      </c>
      <c r="I9" s="16" t="s">
        <v>68</v>
      </c>
      <c r="J9" s="19" t="s">
        <v>80</v>
      </c>
      <c r="K9" s="19" t="s">
        <v>93</v>
      </c>
      <c r="L9" s="17" t="s">
        <v>102</v>
      </c>
      <c r="M9" s="5" t="s">
        <v>103</v>
      </c>
    </row>
    <row r="10" customFormat="false" ht="24" hidden="false" customHeight="true" outlineLevel="0" collapsed="false">
      <c r="A10" s="13" t="s">
        <v>104</v>
      </c>
      <c r="B10" s="14" t="s">
        <v>105</v>
      </c>
      <c r="C10" s="14" t="s">
        <v>106</v>
      </c>
      <c r="D10" s="14" t="s">
        <v>107</v>
      </c>
      <c r="E10" s="14" t="s">
        <v>108</v>
      </c>
      <c r="F10" s="13" t="n">
        <v>8</v>
      </c>
      <c r="G10" s="15" t="n">
        <v>9</v>
      </c>
      <c r="H10" s="15" t="s">
        <v>67</v>
      </c>
      <c r="I10" s="16" t="s">
        <v>68</v>
      </c>
      <c r="J10" s="15" t="s">
        <v>80</v>
      </c>
      <c r="K10" s="15" t="s">
        <v>98</v>
      </c>
      <c r="L10" s="13" t="s">
        <v>102</v>
      </c>
      <c r="M10" s="14" t="s">
        <v>109</v>
      </c>
    </row>
    <row r="11" customFormat="false" ht="24" hidden="false" customHeight="true" outlineLevel="0" collapsed="false">
      <c r="A11" s="18" t="s">
        <v>110</v>
      </c>
      <c r="B11" s="5" t="s">
        <v>111</v>
      </c>
      <c r="C11" s="5" t="s">
        <v>75</v>
      </c>
      <c r="D11" s="5" t="s">
        <v>112</v>
      </c>
      <c r="E11" s="5" t="s">
        <v>113</v>
      </c>
      <c r="F11" s="18" t="n">
        <v>8</v>
      </c>
      <c r="G11" s="19" t="n">
        <v>9</v>
      </c>
      <c r="H11" s="19" t="s">
        <v>67</v>
      </c>
      <c r="I11" s="16" t="s">
        <v>68</v>
      </c>
      <c r="J11" s="19" t="s">
        <v>80</v>
      </c>
      <c r="K11" s="19" t="s">
        <v>104</v>
      </c>
      <c r="L11" s="18" t="s">
        <v>102</v>
      </c>
      <c r="M11" s="5" t="s">
        <v>114</v>
      </c>
    </row>
    <row r="12" customFormat="false" ht="24" hidden="false" customHeight="true" outlineLevel="0" collapsed="false">
      <c r="A12" s="13" t="s">
        <v>115</v>
      </c>
      <c r="B12" s="14" t="s">
        <v>116</v>
      </c>
      <c r="C12" s="14" t="s">
        <v>75</v>
      </c>
      <c r="D12" s="14" t="s">
        <v>117</v>
      </c>
      <c r="E12" s="14" t="s">
        <v>118</v>
      </c>
      <c r="F12" s="13" t="n">
        <v>5</v>
      </c>
      <c r="G12" s="15" t="n">
        <v>10</v>
      </c>
      <c r="H12" s="15" t="s">
        <v>67</v>
      </c>
      <c r="I12" s="16" t="s">
        <v>68</v>
      </c>
      <c r="J12" s="15" t="s">
        <v>80</v>
      </c>
      <c r="K12" s="15" t="s">
        <v>110</v>
      </c>
      <c r="L12" s="13" t="s">
        <v>102</v>
      </c>
      <c r="M12" s="14" t="s">
        <v>119</v>
      </c>
    </row>
    <row r="13" customFormat="false" ht="24" hidden="false" customHeight="true" outlineLevel="0" collapsed="false">
      <c r="A13" s="18" t="s">
        <v>120</v>
      </c>
      <c r="B13" s="5" t="s">
        <v>121</v>
      </c>
      <c r="C13" s="5" t="s">
        <v>75</v>
      </c>
      <c r="D13" s="5" t="s">
        <v>122</v>
      </c>
      <c r="E13" s="5" t="s">
        <v>123</v>
      </c>
      <c r="F13" s="18" t="n">
        <v>5</v>
      </c>
      <c r="G13" s="19" t="n">
        <v>8</v>
      </c>
      <c r="H13" s="19" t="s">
        <v>78</v>
      </c>
      <c r="I13" s="20" t="s">
        <v>79</v>
      </c>
      <c r="J13" s="19" t="s">
        <v>80</v>
      </c>
      <c r="K13" s="19" t="s">
        <v>115</v>
      </c>
      <c r="L13" s="18" t="s">
        <v>102</v>
      </c>
      <c r="M13" s="5" t="s">
        <v>124</v>
      </c>
    </row>
    <row r="14" customFormat="false" ht="24" hidden="false" customHeight="true" outlineLevel="0" collapsed="false">
      <c r="A14" s="13" t="s">
        <v>125</v>
      </c>
      <c r="B14" s="14" t="s">
        <v>126</v>
      </c>
      <c r="C14" s="14" t="s">
        <v>75</v>
      </c>
      <c r="D14" s="14" t="s">
        <v>127</v>
      </c>
      <c r="E14" s="14" t="s">
        <v>128</v>
      </c>
      <c r="F14" s="13" t="n">
        <v>5</v>
      </c>
      <c r="G14" s="15" t="n">
        <v>8</v>
      </c>
      <c r="H14" s="15" t="s">
        <v>78</v>
      </c>
      <c r="I14" s="16" t="s">
        <v>68</v>
      </c>
      <c r="J14" s="15" t="s">
        <v>80</v>
      </c>
      <c r="K14" s="15" t="s">
        <v>120</v>
      </c>
      <c r="L14" s="13" t="s">
        <v>129</v>
      </c>
      <c r="M14" s="14" t="s">
        <v>130</v>
      </c>
    </row>
    <row r="15" customFormat="false" ht="24" hidden="false" customHeight="true" outlineLevel="0" collapsed="false">
      <c r="A15" s="18" t="s">
        <v>131</v>
      </c>
      <c r="B15" s="5" t="s">
        <v>132</v>
      </c>
      <c r="C15" s="5" t="s">
        <v>75</v>
      </c>
      <c r="D15" s="5" t="s">
        <v>133</v>
      </c>
      <c r="E15" s="5" t="s">
        <v>134</v>
      </c>
      <c r="F15" s="18" t="n">
        <v>5</v>
      </c>
      <c r="G15" s="19" t="n">
        <v>8</v>
      </c>
      <c r="H15" s="19" t="s">
        <v>78</v>
      </c>
      <c r="I15" s="16" t="s">
        <v>68</v>
      </c>
      <c r="J15" s="19" t="s">
        <v>80</v>
      </c>
      <c r="K15" s="19" t="s">
        <v>125</v>
      </c>
      <c r="L15" s="18" t="s">
        <v>129</v>
      </c>
      <c r="M15" s="5" t="s">
        <v>135</v>
      </c>
    </row>
    <row r="16" customFormat="false" ht="24" hidden="false" customHeight="true" outlineLevel="0" collapsed="false">
      <c r="A16" s="13" t="s">
        <v>136</v>
      </c>
      <c r="B16" s="14" t="s">
        <v>137</v>
      </c>
      <c r="C16" s="14" t="s">
        <v>75</v>
      </c>
      <c r="D16" s="14" t="s">
        <v>138</v>
      </c>
      <c r="E16" s="14" t="s">
        <v>139</v>
      </c>
      <c r="F16" s="13" t="n">
        <v>5</v>
      </c>
      <c r="G16" s="15" t="n">
        <v>10</v>
      </c>
      <c r="H16" s="15" t="s">
        <v>67</v>
      </c>
      <c r="I16" s="16" t="s">
        <v>68</v>
      </c>
      <c r="J16" s="15" t="s">
        <v>80</v>
      </c>
      <c r="K16" s="15" t="s">
        <v>131</v>
      </c>
      <c r="L16" s="13" t="s">
        <v>129</v>
      </c>
      <c r="M16" s="14" t="s">
        <v>140</v>
      </c>
    </row>
    <row r="17" customFormat="false" ht="24" hidden="false" customHeight="true" outlineLevel="0" collapsed="false">
      <c r="A17" s="18" t="s">
        <v>141</v>
      </c>
      <c r="B17" s="5" t="s">
        <v>142</v>
      </c>
      <c r="C17" s="5" t="s">
        <v>143</v>
      </c>
      <c r="D17" s="5" t="s">
        <v>144</v>
      </c>
      <c r="E17" s="5" t="s">
        <v>145</v>
      </c>
      <c r="F17" s="18" t="n">
        <v>5</v>
      </c>
      <c r="G17" s="19" t="n">
        <v>7</v>
      </c>
      <c r="H17" s="19" t="s">
        <v>78</v>
      </c>
      <c r="I17" s="20" t="s">
        <v>79</v>
      </c>
      <c r="J17" s="19" t="s">
        <v>146</v>
      </c>
      <c r="K17" s="19" t="s">
        <v>70</v>
      </c>
      <c r="L17" s="18" t="s">
        <v>129</v>
      </c>
      <c r="M17" s="5" t="s">
        <v>147</v>
      </c>
    </row>
    <row r="18" customFormat="false" ht="24" hidden="false" customHeight="true" outlineLevel="0" collapsed="false">
      <c r="A18" s="13" t="s">
        <v>148</v>
      </c>
      <c r="B18" s="14" t="s">
        <v>149</v>
      </c>
      <c r="C18" s="14" t="s">
        <v>150</v>
      </c>
      <c r="D18" s="14" t="s">
        <v>151</v>
      </c>
      <c r="E18" s="14" t="s">
        <v>152</v>
      </c>
      <c r="F18" s="13" t="n">
        <v>8</v>
      </c>
      <c r="G18" s="15" t="n">
        <v>6</v>
      </c>
      <c r="H18" s="15" t="s">
        <v>153</v>
      </c>
      <c r="I18" s="21" t="s">
        <v>154</v>
      </c>
      <c r="J18" s="15" t="s">
        <v>155</v>
      </c>
      <c r="K18" s="15" t="s">
        <v>156</v>
      </c>
      <c r="L18" s="13" t="s">
        <v>129</v>
      </c>
      <c r="M18" s="14" t="s">
        <v>157</v>
      </c>
    </row>
    <row r="19" customFormat="false" ht="18.65" hidden="false" customHeight="true" outlineLevel="0" collapsed="false">
      <c r="A19" s="22" t="s">
        <v>158</v>
      </c>
      <c r="B19" s="22"/>
      <c r="C19" s="22"/>
      <c r="D19" s="22"/>
      <c r="E19" s="22"/>
      <c r="F19" s="23" t="n">
        <f aca="false">SUM(F4:F18)</f>
        <v>85</v>
      </c>
      <c r="G19" s="24" t="n">
        <f aca="false">AVERAGE(G4:G18)</f>
        <v>8.73333333333333</v>
      </c>
      <c r="H19" s="25" t="s">
        <v>159</v>
      </c>
      <c r="I19" s="25"/>
      <c r="J19" s="25"/>
      <c r="K19" s="25"/>
      <c r="L19" s="25"/>
      <c r="M19" s="25"/>
    </row>
  </sheetData>
  <mergeCells count="3">
    <mergeCell ref="A1:M1"/>
    <mergeCell ref="A19:E19"/>
    <mergeCell ref="H19:M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6" min="3" style="0" width="15"/>
    <col collapsed="false" customWidth="true" hidden="false" outlineLevel="0" max="7" min="7" style="0" width="22"/>
    <col collapsed="false" customWidth="true" hidden="false" outlineLevel="0" max="8" min="8" style="0" width="24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3" t="s">
        <v>160</v>
      </c>
      <c r="B1" s="3"/>
      <c r="C1" s="3"/>
      <c r="D1" s="3"/>
      <c r="E1" s="3"/>
      <c r="F1" s="3"/>
      <c r="G1" s="3"/>
      <c r="H1" s="3"/>
      <c r="I1" s="3"/>
    </row>
    <row r="3" customFormat="false" ht="25.5" hidden="false" customHeight="true" outlineLevel="0" collapsed="false">
      <c r="A3" s="12" t="s">
        <v>161</v>
      </c>
      <c r="B3" s="12" t="s">
        <v>162</v>
      </c>
      <c r="C3" s="12" t="s">
        <v>163</v>
      </c>
      <c r="D3" s="12" t="s">
        <v>164</v>
      </c>
      <c r="E3" s="12" t="s">
        <v>165</v>
      </c>
      <c r="F3" s="12" t="s">
        <v>166</v>
      </c>
      <c r="G3" s="12" t="s">
        <v>167</v>
      </c>
      <c r="H3" s="12" t="s">
        <v>168</v>
      </c>
      <c r="I3" s="12" t="s">
        <v>169</v>
      </c>
    </row>
    <row r="4" customFormat="false" ht="21.75" hidden="false" customHeight="true" outlineLevel="0" collapsed="false">
      <c r="A4" s="26" t="s">
        <v>170</v>
      </c>
      <c r="B4" s="26" t="s">
        <v>171</v>
      </c>
      <c r="C4" s="19" t="n">
        <v>3</v>
      </c>
      <c r="D4" s="19" t="n">
        <v>15</v>
      </c>
      <c r="E4" s="19" t="n">
        <v>14</v>
      </c>
      <c r="F4" s="27" t="n">
        <f aca="false">C4*E4</f>
        <v>42</v>
      </c>
      <c r="G4" s="28" t="n">
        <v>4</v>
      </c>
      <c r="H4" s="29" t="n">
        <v>0.1</v>
      </c>
      <c r="I4" s="27" t="n">
        <f aca="false">F4-G4-(F4*H4)</f>
        <v>33.8</v>
      </c>
    </row>
    <row r="5" customFormat="false" ht="21.75" hidden="false" customHeight="true" outlineLevel="0" collapsed="false">
      <c r="A5" s="26" t="s">
        <v>172</v>
      </c>
      <c r="B5" s="26" t="s">
        <v>173</v>
      </c>
      <c r="C5" s="19" t="n">
        <v>3</v>
      </c>
      <c r="D5" s="19" t="n">
        <v>15</v>
      </c>
      <c r="E5" s="19" t="n">
        <v>14</v>
      </c>
      <c r="F5" s="27" t="n">
        <f aca="false">C5*E5</f>
        <v>42</v>
      </c>
      <c r="G5" s="28" t="n">
        <v>4</v>
      </c>
      <c r="H5" s="29" t="n">
        <v>0.1</v>
      </c>
      <c r="I5" s="27" t="n">
        <f aca="false">F5-G5-(F5*H5)</f>
        <v>33.8</v>
      </c>
    </row>
    <row r="6" customFormat="false" ht="21.75" hidden="false" customHeight="true" outlineLevel="0" collapsed="false">
      <c r="A6" s="26" t="s">
        <v>174</v>
      </c>
      <c r="B6" s="26" t="s">
        <v>175</v>
      </c>
      <c r="C6" s="19" t="n">
        <v>3</v>
      </c>
      <c r="D6" s="19" t="n">
        <v>15</v>
      </c>
      <c r="E6" s="19" t="n">
        <v>14</v>
      </c>
      <c r="F6" s="27" t="n">
        <f aca="false">C6*E6</f>
        <v>42</v>
      </c>
      <c r="G6" s="28" t="n">
        <v>4</v>
      </c>
      <c r="H6" s="29" t="n">
        <v>0.1</v>
      </c>
      <c r="I6" s="27" t="n">
        <f aca="false">F6-G6-(F6*H6)</f>
        <v>33.8</v>
      </c>
    </row>
    <row r="7" customFormat="false" ht="21.75" hidden="false" customHeight="true" outlineLevel="0" collapsed="false">
      <c r="A7" s="26"/>
      <c r="B7" s="26"/>
      <c r="C7" s="19"/>
      <c r="D7" s="19"/>
      <c r="E7" s="19"/>
      <c r="F7" s="27"/>
      <c r="G7" s="28"/>
      <c r="H7" s="29"/>
      <c r="I7" s="27"/>
    </row>
    <row r="8" customFormat="false" ht="21.75" hidden="false" customHeight="true" outlineLevel="0" collapsed="false">
      <c r="A8" s="26"/>
      <c r="B8" s="26"/>
      <c r="C8" s="19"/>
      <c r="D8" s="19"/>
      <c r="E8" s="19"/>
      <c r="F8" s="27"/>
      <c r="G8" s="28"/>
      <c r="H8" s="29"/>
      <c r="I8" s="27"/>
    </row>
    <row r="9" customFormat="false" ht="24" hidden="false" customHeight="true" outlineLevel="0" collapsed="false">
      <c r="A9" s="30" t="s">
        <v>176</v>
      </c>
      <c r="B9" s="30"/>
      <c r="C9" s="31" t="n">
        <v>3</v>
      </c>
      <c r="D9" s="31" t="n">
        <v>15</v>
      </c>
      <c r="E9" s="31" t="n">
        <f aca="false">SUM(E4:E6)</f>
        <v>42</v>
      </c>
      <c r="F9" s="23" t="n">
        <f aca="false">SUM(F4:F6)</f>
        <v>126</v>
      </c>
      <c r="G9" s="31" t="n">
        <f aca="false">SUM(G4:G6)</f>
        <v>12</v>
      </c>
      <c r="H9" s="32" t="n">
        <f aca="false">AVERAGE(H4:H6)</f>
        <v>0.1</v>
      </c>
      <c r="I9" s="33" t="n">
        <f aca="false">SUM(I4:I6)</f>
        <v>101.4</v>
      </c>
    </row>
    <row r="12" customFormat="false" ht="15" hidden="false" customHeight="true" outlineLevel="0" collapsed="false">
      <c r="B12" s="34" t="s">
        <v>177</v>
      </c>
      <c r="C12" s="34"/>
      <c r="D12" s="34"/>
      <c r="E12" s="34"/>
      <c r="F12" s="34"/>
      <c r="G12" s="34"/>
      <c r="H12" s="34"/>
    </row>
    <row r="13" customFormat="false" ht="15" hidden="false" customHeight="true" outlineLevel="0" collapsed="false">
      <c r="B13" s="35" t="s">
        <v>178</v>
      </c>
      <c r="C13" s="35"/>
      <c r="D13" s="35"/>
      <c r="E13" s="35"/>
      <c r="F13" s="36" t="n">
        <f aca="false">I9</f>
        <v>101.4</v>
      </c>
      <c r="G13" s="37" t="s">
        <v>179</v>
      </c>
      <c r="H13" s="37"/>
    </row>
    <row r="14" customFormat="false" ht="15" hidden="false" customHeight="true" outlineLevel="0" collapsed="false">
      <c r="B14" s="38" t="s">
        <v>180</v>
      </c>
      <c r="C14" s="38"/>
      <c r="D14" s="38"/>
      <c r="E14" s="38"/>
      <c r="F14" s="39" t="n">
        <f aca="false">'Sprint Backlog'!E35</f>
        <v>109</v>
      </c>
      <c r="G14" s="40" t="s">
        <v>181</v>
      </c>
      <c r="H14" s="40"/>
    </row>
    <row r="15" customFormat="false" ht="15" hidden="false" customHeight="true" outlineLevel="0" collapsed="false">
      <c r="B15" s="35" t="s">
        <v>182</v>
      </c>
      <c r="C15" s="35"/>
      <c r="D15" s="35"/>
      <c r="E15" s="35"/>
      <c r="F15" s="36" t="n">
        <f aca="false">F13-F14</f>
        <v>-7.60000000000001</v>
      </c>
      <c r="G15" s="37" t="s">
        <v>183</v>
      </c>
      <c r="H15" s="37"/>
    </row>
    <row r="16" customFormat="false" ht="15" hidden="false" customHeight="true" outlineLevel="0" collapsed="false">
      <c r="B16" s="38" t="s">
        <v>184</v>
      </c>
      <c r="C16" s="38"/>
      <c r="D16" s="38"/>
      <c r="E16" s="38"/>
      <c r="F16" s="41" t="n">
        <f aca="false">F14/F13</f>
        <v>1.07495069033531</v>
      </c>
      <c r="G16" s="40" t="s">
        <v>185</v>
      </c>
      <c r="H16" s="40"/>
    </row>
    <row r="17" customFormat="false" ht="15" hidden="false" customHeight="true" outlineLevel="0" collapsed="false">
      <c r="B17" s="35" t="s">
        <v>186</v>
      </c>
      <c r="C17" s="35"/>
      <c r="D17" s="35"/>
      <c r="E17" s="35"/>
      <c r="F17" s="36" t="n">
        <f aca="false">SUMIF('Product Backlog (Priorizado)'!L4:L18,"Sprint 1",'Product Backlog (Priorizado)'!F4:F18)</f>
        <v>23</v>
      </c>
      <c r="G17" s="37" t="s">
        <v>187</v>
      </c>
      <c r="H17" s="37"/>
    </row>
    <row r="18" customFormat="false" ht="15" hidden="false" customHeight="true" outlineLevel="0" collapsed="false">
      <c r="B18" s="38" t="s">
        <v>188</v>
      </c>
      <c r="C18" s="38"/>
      <c r="D18" s="38"/>
      <c r="E18" s="38"/>
      <c r="F18" s="39" t="n">
        <f aca="false">F17/3</f>
        <v>7.66666666666667</v>
      </c>
      <c r="G18" s="40" t="s">
        <v>189</v>
      </c>
      <c r="H18" s="40"/>
    </row>
  </sheetData>
  <mergeCells count="15">
    <mergeCell ref="A1:I1"/>
    <mergeCell ref="A9:B9"/>
    <mergeCell ref="B12:H12"/>
    <mergeCell ref="B13:E13"/>
    <mergeCell ref="G13:H13"/>
    <mergeCell ref="B14:E14"/>
    <mergeCell ref="G14:H14"/>
    <mergeCell ref="B15:E15"/>
    <mergeCell ref="G15:H15"/>
    <mergeCell ref="B16:E16"/>
    <mergeCell ref="G16:H16"/>
    <mergeCell ref="B17:E17"/>
    <mergeCell ref="G17:H17"/>
    <mergeCell ref="B18:E18"/>
    <mergeCell ref="G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55"/>
    <col collapsed="false" customWidth="true" hidden="false" outlineLevel="0" max="7" min="5" style="0" width="12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3" t="s">
        <v>190</v>
      </c>
      <c r="B1" s="3"/>
      <c r="C1" s="3"/>
      <c r="D1" s="3"/>
      <c r="E1" s="3"/>
      <c r="F1" s="3"/>
      <c r="G1" s="3"/>
      <c r="H1" s="3"/>
      <c r="I1" s="3"/>
      <c r="J1" s="3"/>
    </row>
    <row r="3" customFormat="false" ht="25.5" hidden="false" customHeight="true" outlineLevel="0" collapsed="false">
      <c r="A3" s="12" t="s">
        <v>191</v>
      </c>
      <c r="B3" s="12" t="s">
        <v>192</v>
      </c>
      <c r="C3" s="12" t="s">
        <v>193</v>
      </c>
      <c r="D3" s="12" t="s">
        <v>194</v>
      </c>
      <c r="E3" s="12" t="s">
        <v>195</v>
      </c>
      <c r="F3" s="12" t="s">
        <v>196</v>
      </c>
      <c r="G3" s="12" t="s">
        <v>197</v>
      </c>
      <c r="H3" s="12" t="s">
        <v>198</v>
      </c>
      <c r="I3" s="12" t="s">
        <v>199</v>
      </c>
      <c r="J3" s="12" t="s">
        <v>200</v>
      </c>
    </row>
    <row r="4" customFormat="false" ht="21.75" hidden="false" customHeight="true" outlineLevel="0" collapsed="false">
      <c r="A4" s="18" t="s">
        <v>201</v>
      </c>
      <c r="B4" s="18" t="s">
        <v>202</v>
      </c>
      <c r="C4" s="19" t="s">
        <v>203</v>
      </c>
      <c r="D4" s="5" t="s">
        <v>204</v>
      </c>
      <c r="E4" s="27" t="n">
        <v>2</v>
      </c>
      <c r="F4" s="28" t="n">
        <v>0</v>
      </c>
      <c r="G4" s="28" t="n">
        <f aca="false">E4-F4</f>
        <v>2</v>
      </c>
      <c r="H4" s="5" t="s">
        <v>205</v>
      </c>
      <c r="I4" s="16" t="s">
        <v>206</v>
      </c>
      <c r="J4" s="19" t="s">
        <v>207</v>
      </c>
    </row>
    <row r="5" customFormat="false" ht="21.75" hidden="false" customHeight="true" outlineLevel="0" collapsed="false">
      <c r="A5" s="18" t="s">
        <v>208</v>
      </c>
      <c r="B5" s="18" t="s">
        <v>202</v>
      </c>
      <c r="C5" s="19" t="s">
        <v>209</v>
      </c>
      <c r="D5" s="5" t="s">
        <v>210</v>
      </c>
      <c r="E5" s="27" t="n">
        <v>1</v>
      </c>
      <c r="F5" s="28" t="n">
        <v>0</v>
      </c>
      <c r="G5" s="28" t="n">
        <f aca="false">E5-F5</f>
        <v>1</v>
      </c>
      <c r="H5" s="5" t="s">
        <v>211</v>
      </c>
      <c r="I5" s="16" t="s">
        <v>206</v>
      </c>
      <c r="J5" s="19" t="s">
        <v>207</v>
      </c>
    </row>
    <row r="6" customFormat="false" ht="21.75" hidden="false" customHeight="true" outlineLevel="0" collapsed="false">
      <c r="A6" s="18" t="s">
        <v>212</v>
      </c>
      <c r="B6" s="18" t="s">
        <v>202</v>
      </c>
      <c r="C6" s="19" t="s">
        <v>203</v>
      </c>
      <c r="D6" s="5" t="s">
        <v>213</v>
      </c>
      <c r="E6" s="27" t="n">
        <v>4</v>
      </c>
      <c r="F6" s="28" t="n">
        <v>0</v>
      </c>
      <c r="G6" s="28" t="n">
        <f aca="false">E6-F6</f>
        <v>4</v>
      </c>
      <c r="H6" s="5" t="s">
        <v>214</v>
      </c>
      <c r="I6" s="16" t="s">
        <v>206</v>
      </c>
      <c r="J6" s="19" t="s">
        <v>207</v>
      </c>
    </row>
    <row r="7" customFormat="false" ht="21.75" hidden="false" customHeight="true" outlineLevel="0" collapsed="false">
      <c r="A7" s="18" t="s">
        <v>215</v>
      </c>
      <c r="B7" s="18" t="s">
        <v>202</v>
      </c>
      <c r="C7" s="19" t="s">
        <v>216</v>
      </c>
      <c r="D7" s="5" t="s">
        <v>217</v>
      </c>
      <c r="E7" s="27" t="n">
        <v>5</v>
      </c>
      <c r="F7" s="28" t="n">
        <v>0</v>
      </c>
      <c r="G7" s="28" t="n">
        <f aca="false">E7-F7</f>
        <v>5</v>
      </c>
      <c r="H7" s="5" t="s">
        <v>205</v>
      </c>
      <c r="I7" s="20" t="s">
        <v>206</v>
      </c>
      <c r="J7" s="19" t="s">
        <v>207</v>
      </c>
    </row>
    <row r="8" customFormat="false" ht="21.75" hidden="false" customHeight="true" outlineLevel="0" collapsed="false">
      <c r="A8" s="18" t="s">
        <v>218</v>
      </c>
      <c r="B8" s="18" t="s">
        <v>202</v>
      </c>
      <c r="C8" s="19" t="s">
        <v>219</v>
      </c>
      <c r="D8" s="5" t="s">
        <v>220</v>
      </c>
      <c r="E8" s="27" t="n">
        <v>3</v>
      </c>
      <c r="F8" s="28" t="n">
        <v>0</v>
      </c>
      <c r="G8" s="28" t="n">
        <f aca="false">E8-F8</f>
        <v>3</v>
      </c>
      <c r="H8" s="5" t="s">
        <v>214</v>
      </c>
      <c r="I8" s="16" t="s">
        <v>206</v>
      </c>
      <c r="J8" s="19" t="s">
        <v>207</v>
      </c>
    </row>
    <row r="9" customFormat="false" ht="21.75" hidden="false" customHeight="true" outlineLevel="0" collapsed="false">
      <c r="A9" s="18" t="s">
        <v>221</v>
      </c>
      <c r="B9" s="18" t="s">
        <v>202</v>
      </c>
      <c r="C9" s="19" t="s">
        <v>219</v>
      </c>
      <c r="D9" s="5" t="s">
        <v>222</v>
      </c>
      <c r="E9" s="27" t="n">
        <v>2</v>
      </c>
      <c r="F9" s="28" t="n">
        <v>0</v>
      </c>
      <c r="G9" s="28" t="n">
        <f aca="false">E9-F9</f>
        <v>2</v>
      </c>
      <c r="H9" s="5" t="s">
        <v>205</v>
      </c>
      <c r="I9" s="20" t="s">
        <v>206</v>
      </c>
      <c r="J9" s="19" t="s">
        <v>207</v>
      </c>
    </row>
    <row r="10" customFormat="false" ht="21.75" hidden="false" customHeight="true" outlineLevel="0" collapsed="false">
      <c r="A10" s="18" t="s">
        <v>223</v>
      </c>
      <c r="B10" s="18" t="s">
        <v>62</v>
      </c>
      <c r="C10" s="19" t="s">
        <v>224</v>
      </c>
      <c r="D10" s="5" t="s">
        <v>225</v>
      </c>
      <c r="E10" s="27" t="n">
        <v>4</v>
      </c>
      <c r="F10" s="28" t="n">
        <v>0</v>
      </c>
      <c r="G10" s="28" t="n">
        <f aca="false">E10-F10</f>
        <v>4</v>
      </c>
      <c r="H10" s="5" t="s">
        <v>214</v>
      </c>
      <c r="I10" s="21" t="s">
        <v>206</v>
      </c>
      <c r="J10" s="19" t="s">
        <v>207</v>
      </c>
    </row>
    <row r="11" customFormat="false" ht="21.75" hidden="false" customHeight="true" outlineLevel="0" collapsed="false">
      <c r="A11" s="18" t="s">
        <v>226</v>
      </c>
      <c r="B11" s="18" t="s">
        <v>62</v>
      </c>
      <c r="C11" s="19" t="s">
        <v>224</v>
      </c>
      <c r="D11" s="5" t="s">
        <v>227</v>
      </c>
      <c r="E11" s="27" t="n">
        <v>3</v>
      </c>
      <c r="F11" s="28" t="n">
        <v>0</v>
      </c>
      <c r="G11" s="28" t="n">
        <f aca="false">E11-F11</f>
        <v>3</v>
      </c>
      <c r="H11" s="5" t="s">
        <v>205</v>
      </c>
      <c r="I11" s="21" t="s">
        <v>206</v>
      </c>
      <c r="J11" s="19" t="s">
        <v>207</v>
      </c>
    </row>
    <row r="12" customFormat="false" ht="21.75" hidden="false" customHeight="true" outlineLevel="0" collapsed="false">
      <c r="A12" s="18" t="s">
        <v>228</v>
      </c>
      <c r="B12" s="18" t="s">
        <v>62</v>
      </c>
      <c r="C12" s="19" t="s">
        <v>229</v>
      </c>
      <c r="D12" s="5" t="s">
        <v>230</v>
      </c>
      <c r="E12" s="27" t="n">
        <v>4</v>
      </c>
      <c r="F12" s="28" t="n">
        <v>0</v>
      </c>
      <c r="G12" s="28" t="n">
        <f aca="false">E12-F12</f>
        <v>4</v>
      </c>
      <c r="H12" s="5" t="s">
        <v>231</v>
      </c>
      <c r="I12" s="21" t="s">
        <v>206</v>
      </c>
      <c r="J12" s="19" t="s">
        <v>207</v>
      </c>
    </row>
    <row r="13" customFormat="false" ht="21.75" hidden="false" customHeight="true" outlineLevel="0" collapsed="false">
      <c r="A13" s="18" t="s">
        <v>232</v>
      </c>
      <c r="B13" s="18" t="s">
        <v>62</v>
      </c>
      <c r="C13" s="19" t="s">
        <v>233</v>
      </c>
      <c r="D13" s="5" t="s">
        <v>234</v>
      </c>
      <c r="E13" s="27" t="n">
        <v>1</v>
      </c>
      <c r="F13" s="28" t="n">
        <v>0</v>
      </c>
      <c r="G13" s="28" t="n">
        <f aca="false">E13-F13</f>
        <v>1</v>
      </c>
      <c r="H13" s="5" t="s">
        <v>205</v>
      </c>
      <c r="I13" s="21" t="s">
        <v>206</v>
      </c>
      <c r="J13" s="19" t="s">
        <v>207</v>
      </c>
    </row>
    <row r="14" customFormat="false" ht="21.75" hidden="false" customHeight="true" outlineLevel="0" collapsed="false">
      <c r="A14" s="18" t="s">
        <v>235</v>
      </c>
      <c r="B14" s="18" t="s">
        <v>86</v>
      </c>
      <c r="C14" s="19" t="s">
        <v>224</v>
      </c>
      <c r="D14" s="5" t="s">
        <v>236</v>
      </c>
      <c r="E14" s="27" t="n">
        <v>5</v>
      </c>
      <c r="F14" s="28" t="n">
        <v>0</v>
      </c>
      <c r="G14" s="28" t="n">
        <f aca="false">E14-F14</f>
        <v>5</v>
      </c>
      <c r="H14" s="5" t="s">
        <v>214</v>
      </c>
      <c r="I14" s="21" t="s">
        <v>206</v>
      </c>
      <c r="J14" s="19" t="s">
        <v>207</v>
      </c>
    </row>
    <row r="15" customFormat="false" ht="21.75" hidden="false" customHeight="true" outlineLevel="0" collapsed="false">
      <c r="A15" s="18" t="s">
        <v>237</v>
      </c>
      <c r="B15" s="18" t="s">
        <v>86</v>
      </c>
      <c r="C15" s="19" t="s">
        <v>224</v>
      </c>
      <c r="D15" s="5" t="s">
        <v>238</v>
      </c>
      <c r="E15" s="27" t="n">
        <v>5</v>
      </c>
      <c r="F15" s="28" t="n">
        <v>0</v>
      </c>
      <c r="G15" s="28" t="n">
        <f aca="false">E15-F15</f>
        <v>5</v>
      </c>
      <c r="H15" s="5" t="s">
        <v>205</v>
      </c>
      <c r="I15" s="21" t="s">
        <v>206</v>
      </c>
      <c r="J15" s="19" t="s">
        <v>207</v>
      </c>
    </row>
    <row r="16" customFormat="false" ht="21.75" hidden="false" customHeight="true" outlineLevel="0" collapsed="false">
      <c r="A16" s="18" t="s">
        <v>239</v>
      </c>
      <c r="B16" s="18" t="s">
        <v>86</v>
      </c>
      <c r="C16" s="19" t="s">
        <v>224</v>
      </c>
      <c r="D16" s="5" t="s">
        <v>240</v>
      </c>
      <c r="E16" s="27" t="n">
        <v>3</v>
      </c>
      <c r="F16" s="28" t="n">
        <v>0</v>
      </c>
      <c r="G16" s="28" t="n">
        <f aca="false">E16-F16</f>
        <v>3</v>
      </c>
      <c r="H16" s="5" t="s">
        <v>214</v>
      </c>
      <c r="I16" s="21" t="s">
        <v>206</v>
      </c>
      <c r="J16" s="19" t="s">
        <v>207</v>
      </c>
    </row>
    <row r="17" customFormat="false" ht="21.75" hidden="false" customHeight="true" outlineLevel="0" collapsed="false">
      <c r="A17" s="18" t="s">
        <v>241</v>
      </c>
      <c r="B17" s="18" t="s">
        <v>86</v>
      </c>
      <c r="C17" s="19" t="s">
        <v>229</v>
      </c>
      <c r="D17" s="5" t="s">
        <v>242</v>
      </c>
      <c r="E17" s="27" t="n">
        <v>5</v>
      </c>
      <c r="F17" s="28" t="n">
        <v>0</v>
      </c>
      <c r="G17" s="28" t="n">
        <f aca="false">E17-F17</f>
        <v>5</v>
      </c>
      <c r="H17" s="5" t="s">
        <v>231</v>
      </c>
      <c r="I17" s="21" t="s">
        <v>206</v>
      </c>
      <c r="J17" s="19" t="s">
        <v>207</v>
      </c>
    </row>
    <row r="18" customFormat="false" ht="21.75" hidden="false" customHeight="true" outlineLevel="0" collapsed="false">
      <c r="A18" s="18" t="s">
        <v>243</v>
      </c>
      <c r="B18" s="18" t="s">
        <v>86</v>
      </c>
      <c r="C18" s="19" t="s">
        <v>233</v>
      </c>
      <c r="D18" s="5" t="s">
        <v>244</v>
      </c>
      <c r="E18" s="27" t="n">
        <v>2</v>
      </c>
      <c r="F18" s="28" t="n">
        <v>0</v>
      </c>
      <c r="G18" s="28" t="n">
        <f aca="false">E18-F18</f>
        <v>2</v>
      </c>
      <c r="H18" s="5" t="s">
        <v>231</v>
      </c>
      <c r="I18" s="21" t="s">
        <v>206</v>
      </c>
      <c r="J18" s="19" t="s">
        <v>207</v>
      </c>
    </row>
    <row r="19" customFormat="false" ht="21.75" hidden="false" customHeight="true" outlineLevel="0" collapsed="false">
      <c r="A19" s="18" t="s">
        <v>245</v>
      </c>
      <c r="B19" s="18" t="s">
        <v>82</v>
      </c>
      <c r="C19" s="19" t="s">
        <v>224</v>
      </c>
      <c r="D19" s="5" t="s">
        <v>246</v>
      </c>
      <c r="E19" s="27" t="n">
        <v>4</v>
      </c>
      <c r="F19" s="28" t="n">
        <v>0</v>
      </c>
      <c r="G19" s="28" t="n">
        <f aca="false">E19-F19</f>
        <v>4</v>
      </c>
      <c r="H19" s="5" t="s">
        <v>214</v>
      </c>
      <c r="I19" s="21" t="s">
        <v>206</v>
      </c>
      <c r="J19" s="19" t="s">
        <v>207</v>
      </c>
    </row>
    <row r="20" customFormat="false" ht="21.75" hidden="false" customHeight="true" outlineLevel="0" collapsed="false">
      <c r="A20" s="18" t="s">
        <v>247</v>
      </c>
      <c r="B20" s="18" t="s">
        <v>82</v>
      </c>
      <c r="C20" s="19" t="s">
        <v>224</v>
      </c>
      <c r="D20" s="5" t="s">
        <v>248</v>
      </c>
      <c r="E20" s="27" t="n">
        <v>3</v>
      </c>
      <c r="F20" s="28" t="n">
        <v>0</v>
      </c>
      <c r="G20" s="28" t="n">
        <f aca="false">E20-F20</f>
        <v>3</v>
      </c>
      <c r="H20" s="5" t="s">
        <v>205</v>
      </c>
      <c r="I20" s="21" t="s">
        <v>206</v>
      </c>
      <c r="J20" s="19" t="s">
        <v>207</v>
      </c>
    </row>
    <row r="21" customFormat="false" ht="21.75" hidden="false" customHeight="true" outlineLevel="0" collapsed="false">
      <c r="A21" s="18" t="s">
        <v>249</v>
      </c>
      <c r="B21" s="18" t="s">
        <v>82</v>
      </c>
      <c r="C21" s="19" t="s">
        <v>224</v>
      </c>
      <c r="D21" s="5" t="s">
        <v>250</v>
      </c>
      <c r="E21" s="27" t="n">
        <v>3</v>
      </c>
      <c r="F21" s="28" t="n">
        <v>0</v>
      </c>
      <c r="G21" s="28" t="n">
        <f aca="false">E21-F21</f>
        <v>3</v>
      </c>
      <c r="H21" s="5" t="s">
        <v>214</v>
      </c>
      <c r="I21" s="21" t="s">
        <v>206</v>
      </c>
      <c r="J21" s="19" t="s">
        <v>207</v>
      </c>
    </row>
    <row r="22" customFormat="false" ht="21.75" hidden="false" customHeight="true" outlineLevel="0" collapsed="false">
      <c r="A22" s="18" t="s">
        <v>251</v>
      </c>
      <c r="B22" s="18" t="s">
        <v>82</v>
      </c>
      <c r="C22" s="19" t="s">
        <v>229</v>
      </c>
      <c r="D22" s="5" t="s">
        <v>252</v>
      </c>
      <c r="E22" s="27" t="n">
        <v>6</v>
      </c>
      <c r="F22" s="28" t="n">
        <v>0</v>
      </c>
      <c r="G22" s="28" t="n">
        <f aca="false">E22-F22</f>
        <v>6</v>
      </c>
      <c r="H22" s="5" t="s">
        <v>231</v>
      </c>
      <c r="I22" s="21" t="s">
        <v>206</v>
      </c>
      <c r="J22" s="19" t="s">
        <v>207</v>
      </c>
    </row>
    <row r="23" customFormat="false" ht="21.75" hidden="false" customHeight="true" outlineLevel="0" collapsed="false">
      <c r="A23" s="18" t="s">
        <v>253</v>
      </c>
      <c r="B23" s="18" t="s">
        <v>82</v>
      </c>
      <c r="C23" s="19" t="s">
        <v>229</v>
      </c>
      <c r="D23" s="5" t="s">
        <v>254</v>
      </c>
      <c r="E23" s="27" t="n">
        <v>2</v>
      </c>
      <c r="F23" s="28" t="n">
        <v>0</v>
      </c>
      <c r="G23" s="28" t="n">
        <f aca="false">E23-F23</f>
        <v>2</v>
      </c>
      <c r="H23" s="5" t="s">
        <v>231</v>
      </c>
      <c r="I23" s="21" t="s">
        <v>206</v>
      </c>
      <c r="J23" s="19" t="s">
        <v>207</v>
      </c>
    </row>
    <row r="24" customFormat="false" ht="21.75" hidden="false" customHeight="true" outlineLevel="0" collapsed="false">
      <c r="A24" s="18" t="s">
        <v>255</v>
      </c>
      <c r="B24" s="18" t="s">
        <v>82</v>
      </c>
      <c r="C24" s="19" t="s">
        <v>233</v>
      </c>
      <c r="D24" s="5" t="s">
        <v>256</v>
      </c>
      <c r="E24" s="27" t="n">
        <v>2</v>
      </c>
      <c r="F24" s="28" t="n">
        <v>0</v>
      </c>
      <c r="G24" s="28" t="n">
        <f aca="false">E24-F24</f>
        <v>2</v>
      </c>
      <c r="H24" s="5" t="s">
        <v>205</v>
      </c>
      <c r="I24" s="21" t="s">
        <v>206</v>
      </c>
      <c r="J24" s="19" t="s">
        <v>207</v>
      </c>
    </row>
    <row r="25" customFormat="false" ht="21.75" hidden="false" customHeight="true" outlineLevel="0" collapsed="false">
      <c r="A25" s="18" t="s">
        <v>257</v>
      </c>
      <c r="B25" s="18" t="s">
        <v>73</v>
      </c>
      <c r="C25" s="19" t="s">
        <v>224</v>
      </c>
      <c r="D25" s="5" t="s">
        <v>258</v>
      </c>
      <c r="E25" s="27" t="n">
        <v>5</v>
      </c>
      <c r="F25" s="28" t="n">
        <v>0</v>
      </c>
      <c r="G25" s="28" t="n">
        <f aca="false">E25-F25</f>
        <v>5</v>
      </c>
      <c r="H25" s="5" t="s">
        <v>205</v>
      </c>
      <c r="I25" s="21" t="s">
        <v>206</v>
      </c>
      <c r="J25" s="19" t="s">
        <v>207</v>
      </c>
    </row>
    <row r="26" customFormat="false" ht="21.75" hidden="false" customHeight="true" outlineLevel="0" collapsed="false">
      <c r="A26" s="18" t="s">
        <v>259</v>
      </c>
      <c r="B26" s="18" t="s">
        <v>73</v>
      </c>
      <c r="C26" s="19" t="s">
        <v>224</v>
      </c>
      <c r="D26" s="5" t="s">
        <v>260</v>
      </c>
      <c r="E26" s="27" t="n">
        <v>4</v>
      </c>
      <c r="F26" s="28" t="n">
        <v>0</v>
      </c>
      <c r="G26" s="28" t="n">
        <f aca="false">E26-F26</f>
        <v>4</v>
      </c>
      <c r="H26" s="5" t="s">
        <v>214</v>
      </c>
      <c r="I26" s="21" t="s">
        <v>206</v>
      </c>
      <c r="J26" s="19" t="s">
        <v>207</v>
      </c>
    </row>
    <row r="27" customFormat="false" ht="21.75" hidden="false" customHeight="true" outlineLevel="0" collapsed="false">
      <c r="A27" s="18" t="s">
        <v>261</v>
      </c>
      <c r="B27" s="18" t="s">
        <v>73</v>
      </c>
      <c r="C27" s="19" t="s">
        <v>229</v>
      </c>
      <c r="D27" s="5" t="s">
        <v>262</v>
      </c>
      <c r="E27" s="27" t="n">
        <v>6</v>
      </c>
      <c r="F27" s="28" t="n">
        <v>0</v>
      </c>
      <c r="G27" s="28" t="n">
        <f aca="false">E27-F27</f>
        <v>6</v>
      </c>
      <c r="H27" s="5" t="s">
        <v>231</v>
      </c>
      <c r="I27" s="21" t="s">
        <v>206</v>
      </c>
      <c r="J27" s="19" t="s">
        <v>207</v>
      </c>
    </row>
    <row r="28" customFormat="false" ht="21.75" hidden="false" customHeight="true" outlineLevel="0" collapsed="false">
      <c r="A28" s="18" t="s">
        <v>263</v>
      </c>
      <c r="B28" s="18" t="s">
        <v>73</v>
      </c>
      <c r="C28" s="19" t="s">
        <v>229</v>
      </c>
      <c r="D28" s="5" t="s">
        <v>264</v>
      </c>
      <c r="E28" s="27" t="n">
        <v>3</v>
      </c>
      <c r="F28" s="28" t="n">
        <v>0</v>
      </c>
      <c r="G28" s="28" t="n">
        <f aca="false">E28-F28</f>
        <v>3</v>
      </c>
      <c r="H28" s="5" t="s">
        <v>231</v>
      </c>
      <c r="I28" s="21" t="s">
        <v>206</v>
      </c>
      <c r="J28" s="19" t="s">
        <v>207</v>
      </c>
    </row>
    <row r="29" customFormat="false" ht="21.75" hidden="false" customHeight="true" outlineLevel="0" collapsed="false">
      <c r="A29" s="18" t="s">
        <v>265</v>
      </c>
      <c r="B29" s="18" t="s">
        <v>73</v>
      </c>
      <c r="C29" s="19" t="s">
        <v>233</v>
      </c>
      <c r="D29" s="5" t="s">
        <v>266</v>
      </c>
      <c r="E29" s="27" t="n">
        <v>2</v>
      </c>
      <c r="F29" s="28" t="n">
        <v>0</v>
      </c>
      <c r="G29" s="28" t="n">
        <f aca="false">E29-F29</f>
        <v>2</v>
      </c>
      <c r="H29" s="5" t="s">
        <v>205</v>
      </c>
      <c r="I29" s="21" t="s">
        <v>206</v>
      </c>
      <c r="J29" s="19" t="s">
        <v>207</v>
      </c>
    </row>
    <row r="30" customFormat="false" ht="21.75" hidden="false" customHeight="true" outlineLevel="0" collapsed="false">
      <c r="A30" s="18" t="s">
        <v>267</v>
      </c>
      <c r="B30" s="18" t="s">
        <v>93</v>
      </c>
      <c r="C30" s="19" t="s">
        <v>224</v>
      </c>
      <c r="D30" s="5" t="s">
        <v>268</v>
      </c>
      <c r="E30" s="27" t="n">
        <v>4</v>
      </c>
      <c r="F30" s="28" t="n">
        <v>0</v>
      </c>
      <c r="G30" s="28" t="n">
        <f aca="false">E30-F30</f>
        <v>4</v>
      </c>
      <c r="H30" s="5" t="s">
        <v>214</v>
      </c>
      <c r="I30" s="21" t="s">
        <v>206</v>
      </c>
      <c r="J30" s="19" t="s">
        <v>207</v>
      </c>
    </row>
    <row r="31" customFormat="false" ht="21.75" hidden="false" customHeight="true" outlineLevel="0" collapsed="false">
      <c r="A31" s="18" t="s">
        <v>269</v>
      </c>
      <c r="B31" s="18" t="s">
        <v>93</v>
      </c>
      <c r="C31" s="19" t="s">
        <v>224</v>
      </c>
      <c r="D31" s="5" t="s">
        <v>270</v>
      </c>
      <c r="E31" s="27" t="n">
        <v>4</v>
      </c>
      <c r="F31" s="28" t="n">
        <v>0</v>
      </c>
      <c r="G31" s="28" t="n">
        <f aca="false">E31-F31</f>
        <v>4</v>
      </c>
      <c r="H31" s="5" t="s">
        <v>205</v>
      </c>
      <c r="I31" s="21" t="s">
        <v>206</v>
      </c>
      <c r="J31" s="19" t="s">
        <v>207</v>
      </c>
    </row>
    <row r="32" customFormat="false" ht="21.75" hidden="false" customHeight="true" outlineLevel="0" collapsed="false">
      <c r="A32" s="18" t="s">
        <v>271</v>
      </c>
      <c r="B32" s="18" t="s">
        <v>93</v>
      </c>
      <c r="C32" s="19" t="s">
        <v>224</v>
      </c>
      <c r="D32" s="5" t="s">
        <v>272</v>
      </c>
      <c r="E32" s="27" t="n">
        <v>4</v>
      </c>
      <c r="F32" s="28" t="n">
        <v>0</v>
      </c>
      <c r="G32" s="28" t="n">
        <f aca="false">E32-F32</f>
        <v>4</v>
      </c>
      <c r="H32" s="5" t="s">
        <v>214</v>
      </c>
      <c r="I32" s="21" t="s">
        <v>206</v>
      </c>
      <c r="J32" s="19" t="s">
        <v>207</v>
      </c>
    </row>
    <row r="33" customFormat="false" ht="24" hidden="false" customHeight="true" outlineLevel="0" collapsed="false">
      <c r="A33" s="22" t="s">
        <v>273</v>
      </c>
      <c r="B33" s="42" t="s">
        <v>93</v>
      </c>
      <c r="C33" s="42" t="s">
        <v>229</v>
      </c>
      <c r="D33" s="42" t="s">
        <v>274</v>
      </c>
      <c r="E33" s="33" t="n">
        <v>6</v>
      </c>
      <c r="F33" s="24" t="n">
        <v>0</v>
      </c>
      <c r="G33" s="24" t="n">
        <f aca="false">E33-F33</f>
        <v>6</v>
      </c>
      <c r="H33" s="25" t="s">
        <v>231</v>
      </c>
      <c r="I33" s="42" t="s">
        <v>206</v>
      </c>
      <c r="J33" s="42" t="s">
        <v>207</v>
      </c>
    </row>
    <row r="34" customFormat="false" ht="15" hidden="false" customHeight="false" outlineLevel="0" collapsed="false">
      <c r="A34" s="0" t="s">
        <v>275</v>
      </c>
      <c r="B34" s="0" t="s">
        <v>93</v>
      </c>
      <c r="C34" s="0" t="s">
        <v>233</v>
      </c>
      <c r="D34" s="0" t="s">
        <v>276</v>
      </c>
      <c r="E34" s="0" t="n">
        <v>2</v>
      </c>
      <c r="F34" s="0" t="n">
        <v>0</v>
      </c>
      <c r="G34" s="0" t="n">
        <f aca="false">E34-F34</f>
        <v>2</v>
      </c>
      <c r="H34" s="0" t="s">
        <v>205</v>
      </c>
      <c r="I34" s="0" t="s">
        <v>206</v>
      </c>
      <c r="J34" s="0" t="s">
        <v>207</v>
      </c>
    </row>
    <row r="35" customFormat="false" ht="15" hidden="false" customHeight="false" outlineLevel="0" collapsed="false">
      <c r="A35" s="43" t="s">
        <v>277</v>
      </c>
      <c r="B35" s="43"/>
      <c r="C35" s="43"/>
      <c r="D35" s="43"/>
      <c r="E35" s="42" t="n">
        <f aca="false">SUM(E4:E34)</f>
        <v>109</v>
      </c>
      <c r="F35" s="42" t="n">
        <f aca="false">SUM(F4:F34)</f>
        <v>0</v>
      </c>
      <c r="G35" s="42" t="n">
        <f aca="false">SUM(G4:G34)</f>
        <v>109</v>
      </c>
      <c r="H35" s="43" t="s">
        <v>278</v>
      </c>
      <c r="I35" s="43"/>
      <c r="J35" s="43"/>
    </row>
  </sheetData>
  <mergeCells count="3">
    <mergeCell ref="A1:J1"/>
    <mergeCell ref="A35:D35"/>
    <mergeCell ref="H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6" min="4" style="0" width="22"/>
    <col collapsed="false" customWidth="true" hidden="false" outlineLevel="0" max="7" min="7" style="0" width="32"/>
  </cols>
  <sheetData>
    <row r="1" customFormat="false" ht="27.75" hidden="false" customHeight="true" outlineLevel="0" collapsed="false">
      <c r="A1" s="3" t="s">
        <v>279</v>
      </c>
      <c r="B1" s="3"/>
      <c r="C1" s="3"/>
      <c r="D1" s="3"/>
      <c r="E1" s="3"/>
      <c r="F1" s="3"/>
      <c r="G1" s="3"/>
    </row>
    <row r="3" customFormat="false" ht="25.5" hidden="false" customHeight="true" outlineLevel="0" collapsed="false">
      <c r="A3" s="12" t="s">
        <v>280</v>
      </c>
      <c r="B3" s="12" t="s">
        <v>281</v>
      </c>
      <c r="C3" s="12" t="s">
        <v>282</v>
      </c>
      <c r="D3" s="12" t="s">
        <v>283</v>
      </c>
      <c r="E3" s="12" t="s">
        <v>284</v>
      </c>
      <c r="F3" s="12" t="s">
        <v>285</v>
      </c>
      <c r="G3" s="12" t="s">
        <v>286</v>
      </c>
    </row>
    <row r="4" customFormat="false" ht="21.75" hidden="false" customHeight="true" outlineLevel="0" collapsed="false">
      <c r="A4" s="18" t="s">
        <v>287</v>
      </c>
      <c r="B4" s="18" t="s">
        <v>288</v>
      </c>
      <c r="C4" s="5" t="s">
        <v>289</v>
      </c>
      <c r="D4" s="27" t="n">
        <v>101.7</v>
      </c>
      <c r="E4" s="28" t="n">
        <v>109</v>
      </c>
      <c r="F4" s="18" t="n">
        <v>23</v>
      </c>
      <c r="G4" s="5" t="s">
        <v>290</v>
      </c>
    </row>
    <row r="5" customFormat="false" ht="21.75" hidden="false" customHeight="true" outlineLevel="0" collapsed="false">
      <c r="A5" s="18" t="s">
        <v>291</v>
      </c>
      <c r="B5" s="18" t="s">
        <v>288</v>
      </c>
      <c r="C5" s="5" t="s">
        <v>292</v>
      </c>
      <c r="D5" s="27" t="n">
        <v>94.5</v>
      </c>
      <c r="E5" s="28" t="n">
        <v>155</v>
      </c>
      <c r="F5" s="18" t="n">
        <v>23</v>
      </c>
      <c r="G5" s="5"/>
    </row>
    <row r="6" customFormat="false" ht="21.75" hidden="false" customHeight="true" outlineLevel="0" collapsed="false">
      <c r="A6" s="18" t="s">
        <v>293</v>
      </c>
      <c r="B6" s="18" t="s">
        <v>288</v>
      </c>
      <c r="C6" s="5" t="s">
        <v>294</v>
      </c>
      <c r="D6" s="27" t="n">
        <v>87.2</v>
      </c>
      <c r="E6" s="28" t="n">
        <v>148</v>
      </c>
      <c r="F6" s="18" t="n">
        <v>23</v>
      </c>
      <c r="G6" s="5"/>
    </row>
    <row r="7" customFormat="false" ht="21.75" hidden="false" customHeight="true" outlineLevel="0" collapsed="false">
      <c r="A7" s="18" t="s">
        <v>295</v>
      </c>
      <c r="B7" s="18" t="s">
        <v>288</v>
      </c>
      <c r="C7" s="5" t="s">
        <v>296</v>
      </c>
      <c r="D7" s="27" t="n">
        <v>79.9</v>
      </c>
      <c r="E7" s="28" t="n">
        <v>140</v>
      </c>
      <c r="F7" s="18" t="n">
        <v>23</v>
      </c>
      <c r="G7" s="5"/>
    </row>
    <row r="8" customFormat="false" ht="21.75" hidden="false" customHeight="true" outlineLevel="0" collapsed="false">
      <c r="A8" s="18" t="s">
        <v>297</v>
      </c>
      <c r="B8" s="18" t="s">
        <v>288</v>
      </c>
      <c r="C8" s="5" t="s">
        <v>298</v>
      </c>
      <c r="D8" s="27" t="n">
        <v>72.7</v>
      </c>
      <c r="E8" s="28" t="n">
        <v>132</v>
      </c>
      <c r="F8" s="18" t="n">
        <v>15</v>
      </c>
      <c r="G8" s="5" t="s">
        <v>299</v>
      </c>
    </row>
    <row r="9" customFormat="false" ht="21.75" hidden="false" customHeight="true" outlineLevel="0" collapsed="false">
      <c r="A9" s="18" t="s">
        <v>300</v>
      </c>
      <c r="B9" s="18" t="s">
        <v>301</v>
      </c>
      <c r="C9" s="5" t="s">
        <v>302</v>
      </c>
      <c r="D9" s="27" t="n">
        <v>65.4</v>
      </c>
      <c r="E9" s="28" t="n">
        <v>124</v>
      </c>
      <c r="F9" s="18" t="n">
        <v>15</v>
      </c>
      <c r="G9" s="5" t="s">
        <v>303</v>
      </c>
    </row>
    <row r="10" customFormat="false" ht="21.75" hidden="false" customHeight="true" outlineLevel="0" collapsed="false">
      <c r="A10" s="18" t="s">
        <v>304</v>
      </c>
      <c r="B10" s="18" t="s">
        <v>301</v>
      </c>
      <c r="C10" s="5" t="s">
        <v>305</v>
      </c>
      <c r="D10" s="27" t="n">
        <v>58.1</v>
      </c>
      <c r="E10" s="28" t="n">
        <v>115</v>
      </c>
      <c r="F10" s="18" t="n">
        <v>15</v>
      </c>
      <c r="G10" s="5"/>
    </row>
    <row r="11" customFormat="false" ht="21.75" hidden="false" customHeight="true" outlineLevel="0" collapsed="false">
      <c r="A11" s="18" t="s">
        <v>306</v>
      </c>
      <c r="B11" s="18" t="s">
        <v>301</v>
      </c>
      <c r="C11" s="5" t="s">
        <v>307</v>
      </c>
      <c r="D11" s="27" t="n">
        <v>50.9</v>
      </c>
      <c r="E11" s="28" t="n">
        <v>107</v>
      </c>
      <c r="F11" s="18" t="n">
        <v>15</v>
      </c>
      <c r="G11" s="5"/>
    </row>
    <row r="12" customFormat="false" ht="21.75" hidden="false" customHeight="true" outlineLevel="0" collapsed="false">
      <c r="A12" s="18" t="s">
        <v>308</v>
      </c>
      <c r="B12" s="18" t="s">
        <v>301</v>
      </c>
      <c r="C12" s="5" t="s">
        <v>309</v>
      </c>
      <c r="D12" s="27" t="n">
        <v>43.6</v>
      </c>
      <c r="E12" s="28" t="n">
        <v>98</v>
      </c>
      <c r="F12" s="18" t="n">
        <v>10</v>
      </c>
      <c r="G12" s="5"/>
    </row>
    <row r="13" customFormat="false" ht="21.75" hidden="false" customHeight="true" outlineLevel="0" collapsed="false">
      <c r="A13" s="18" t="s">
        <v>310</v>
      </c>
      <c r="B13" s="18" t="s">
        <v>301</v>
      </c>
      <c r="C13" s="5" t="s">
        <v>311</v>
      </c>
      <c r="D13" s="27" t="n">
        <v>36.3</v>
      </c>
      <c r="E13" s="28" t="n">
        <v>90</v>
      </c>
      <c r="F13" s="18" t="n">
        <v>10</v>
      </c>
      <c r="G13" s="5" t="s">
        <v>312</v>
      </c>
    </row>
    <row r="14" customFormat="false" ht="21.75" hidden="false" customHeight="true" outlineLevel="0" collapsed="false">
      <c r="A14" s="18" t="s">
        <v>313</v>
      </c>
      <c r="B14" s="18" t="s">
        <v>314</v>
      </c>
      <c r="C14" s="5" t="s">
        <v>315</v>
      </c>
      <c r="D14" s="27" t="n">
        <v>29.1</v>
      </c>
      <c r="E14" s="28" t="n">
        <v>81</v>
      </c>
      <c r="F14" s="18" t="n">
        <v>5</v>
      </c>
      <c r="G14" s="5" t="s">
        <v>316</v>
      </c>
    </row>
    <row r="15" customFormat="false" ht="21.75" hidden="false" customHeight="true" outlineLevel="0" collapsed="false">
      <c r="A15" s="18" t="s">
        <v>317</v>
      </c>
      <c r="B15" s="18" t="s">
        <v>314</v>
      </c>
      <c r="C15" s="5" t="s">
        <v>318</v>
      </c>
      <c r="D15" s="27" t="n">
        <v>21.8</v>
      </c>
      <c r="E15" s="28" t="n">
        <v>73</v>
      </c>
      <c r="F15" s="18" t="n">
        <v>5</v>
      </c>
      <c r="G15" s="5"/>
    </row>
    <row r="16" customFormat="false" ht="21.75" hidden="false" customHeight="true" outlineLevel="0" collapsed="false">
      <c r="A16" s="18" t="s">
        <v>319</v>
      </c>
      <c r="B16" s="18" t="s">
        <v>314</v>
      </c>
      <c r="C16" s="5" t="s">
        <v>320</v>
      </c>
      <c r="D16" s="27" t="n">
        <v>14.5</v>
      </c>
      <c r="E16" s="28" t="n">
        <v>65</v>
      </c>
      <c r="F16" s="18" t="n">
        <v>5</v>
      </c>
      <c r="G16" s="5"/>
    </row>
    <row r="17" customFormat="false" ht="21.75" hidden="false" customHeight="true" outlineLevel="0" collapsed="false">
      <c r="A17" s="18" t="s">
        <v>321</v>
      </c>
      <c r="B17" s="18" t="s">
        <v>314</v>
      </c>
      <c r="C17" s="5" t="s">
        <v>322</v>
      </c>
      <c r="D17" s="27" t="n">
        <v>7.3</v>
      </c>
      <c r="E17" s="28" t="n">
        <v>56</v>
      </c>
      <c r="F17" s="18" t="n">
        <v>0</v>
      </c>
      <c r="G17" s="5" t="s">
        <v>323</v>
      </c>
    </row>
    <row r="18" customFormat="false" ht="21.75" hidden="false" customHeight="true" outlineLevel="0" collapsed="false">
      <c r="A18" s="18" t="s">
        <v>324</v>
      </c>
      <c r="B18" s="18" t="s">
        <v>314</v>
      </c>
      <c r="C18" s="5" t="s">
        <v>325</v>
      </c>
      <c r="D18" s="27" t="n">
        <v>0</v>
      </c>
      <c r="E18" s="28" t="n">
        <v>48</v>
      </c>
      <c r="F18" s="18" t="n">
        <v>0</v>
      </c>
      <c r="G18" s="5" t="s">
        <v>326</v>
      </c>
    </row>
    <row r="19" customFormat="false" ht="21.75" hidden="false" customHeight="true" outlineLevel="0" collapsed="false">
      <c r="A19" s="18"/>
      <c r="B19" s="18"/>
      <c r="C19" s="5"/>
      <c r="D19" s="27"/>
      <c r="E19" s="28"/>
      <c r="F19" s="18"/>
      <c r="G19" s="5"/>
    </row>
    <row r="20" customFormat="false" ht="21.75" hidden="false" customHeight="true" outlineLevel="0" collapsed="false">
      <c r="A20" s="18"/>
      <c r="B20" s="18"/>
      <c r="C20" s="5"/>
      <c r="D20" s="27"/>
      <c r="E20" s="28"/>
      <c r="F20" s="18"/>
      <c r="G20" s="5"/>
    </row>
    <row r="21" customFormat="false" ht="21.75" hidden="false" customHeight="true" outlineLevel="0" collapsed="false">
      <c r="A21" s="18"/>
      <c r="B21" s="18"/>
      <c r="C21" s="5"/>
      <c r="D21" s="27"/>
      <c r="E21" s="28"/>
      <c r="F21" s="18"/>
      <c r="G21" s="5"/>
    </row>
    <row r="22" customFormat="false" ht="21.75" hidden="false" customHeight="true" outlineLevel="0" collapsed="false">
      <c r="A22" s="18"/>
      <c r="B22" s="18"/>
      <c r="C22" s="5"/>
      <c r="D22" s="27"/>
      <c r="E22" s="28"/>
      <c r="F22" s="18"/>
      <c r="G22" s="5"/>
    </row>
    <row r="23" customFormat="false" ht="21.75" hidden="false" customHeight="true" outlineLevel="0" collapsed="false">
      <c r="A23" s="18"/>
      <c r="B23" s="18"/>
      <c r="C23" s="5"/>
      <c r="D23" s="27"/>
      <c r="E23" s="28"/>
      <c r="F23" s="18"/>
      <c r="G23" s="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2026-09-18T00:20:49Z</dcterms:created>
  <dc:creator>openpyxl</dc:creator>
  <dc:description/>
  <dc:language>en-US</dc:language>
  <cp:lastModifiedBy/>
  <dcterms:modified xsi:type="dcterms:W3CDTF">2026-09-18T00:50:24Z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